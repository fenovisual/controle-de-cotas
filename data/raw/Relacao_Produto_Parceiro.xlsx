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76ad113b83d0bd/Área de Trabalho/Controle de Cota/"/>
    </mc:Choice>
  </mc:AlternateContent>
  <xr:revisionPtr revIDLastSave="3" documentId="11_165C575231A64038ECB896143B8A12A90370F65B" xr6:coauthVersionLast="47" xr6:coauthVersionMax="47" xr10:uidLastSave="{8B92C217-2CFD-4C31-827C-87A814456CBA}"/>
  <bookViews>
    <workbookView xWindow="-108" yWindow="-108" windowWidth="23256" windowHeight="12456" xr2:uid="{00000000-000D-0000-FFFF-FFFF00000000}"/>
  </bookViews>
  <sheets>
    <sheet name="new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6" i="1" l="1"/>
  <c r="T96" i="1"/>
  <c r="R96" i="1"/>
  <c r="Q96" i="1"/>
  <c r="P96" i="1"/>
  <c r="N96" i="1"/>
  <c r="K96" i="1"/>
  <c r="I96" i="1"/>
  <c r="H96" i="1"/>
</calcChain>
</file>

<file path=xl/sharedStrings.xml><?xml version="1.0" encoding="utf-8"?>
<sst xmlns="http://schemas.openxmlformats.org/spreadsheetml/2006/main" count="487" uniqueCount="135">
  <si>
    <t>Relação Produto/Parceiro</t>
  </si>
  <si>
    <t>Emissão:13/07/2026 17:48:41</t>
  </si>
  <si>
    <t>Total de registros:92</t>
  </si>
  <si>
    <t>Usuário: 29 - MATHEUS</t>
  </si>
  <si>
    <t>Movimento</t>
  </si>
  <si>
    <t>Nro. Nota</t>
  </si>
  <si>
    <t>Parceiro</t>
  </si>
  <si>
    <t>Nome Parceiro</t>
  </si>
  <si>
    <t>Produto</t>
  </si>
  <si>
    <t>Descrição Produto</t>
  </si>
  <si>
    <t>Negociação</t>
  </si>
  <si>
    <t>Vlr. Total</t>
  </si>
  <si>
    <t>Quantidade</t>
  </si>
  <si>
    <t>Unidade</t>
  </si>
  <si>
    <t>Vlr. Unit. Nota</t>
  </si>
  <si>
    <t>Apelido Vendedor</t>
  </si>
  <si>
    <t>Vendedor</t>
  </si>
  <si>
    <t>Valor Unit. Líq.</t>
  </si>
  <si>
    <t>Local</t>
  </si>
  <si>
    <t>Desconto</t>
  </si>
  <si>
    <t>Vlr. sem IPI</t>
  </si>
  <si>
    <t>% IPI</t>
  </si>
  <si>
    <t>TOP</t>
  </si>
  <si>
    <t>Vlr. Total Itens</t>
  </si>
  <si>
    <t>Referência</t>
  </si>
  <si>
    <t>Ref. Fornecedor</t>
  </si>
  <si>
    <t>Variação</t>
  </si>
  <si>
    <t>V - Venda</t>
  </si>
  <si>
    <t>ERLANDO BRUNO BESSA</t>
  </si>
  <si>
    <t>FENO PRISMATICO III 25KG</t>
  </si>
  <si>
    <t>KG</t>
  </si>
  <si>
    <t>SIMONE</t>
  </si>
  <si>
    <t>LEONARDO ARABE DE CASTRO BORGES</t>
  </si>
  <si>
    <t>FENO PRISMATICO I 25KG</t>
  </si>
  <si>
    <t>LURDES APARECIDA LORIA E OUTROS</t>
  </si>
  <si>
    <t>BERNARDO CAMPOS SILVA</t>
  </si>
  <si>
    <t>FENO PRISMATICO PREMIUM 25KG</t>
  </si>
  <si>
    <t>JOSE RICARDO MACEDO 87998998687</t>
  </si>
  <si>
    <t>OSVALDO SILVERIO JUNIOR</t>
  </si>
  <si>
    <t>NAYARA</t>
  </si>
  <si>
    <t>THAUANY ALBERNAZ CLEMENTE - REPRESENTACAO</t>
  </si>
  <si>
    <t>AGROPECUARIA BREJINHO LTDA</t>
  </si>
  <si>
    <t>RODRIGO PEREIRA DE OLIVEIRA</t>
  </si>
  <si>
    <t>FENO CILINDRICO I</t>
  </si>
  <si>
    <t>PRE SECADO II</t>
  </si>
  <si>
    <t>UNIAO AGRO CURVELO LTDA</t>
  </si>
  <si>
    <t>PRE SECADO I</t>
  </si>
  <si>
    <t>VALDEMIR PIRES DE ARAUJO</t>
  </si>
  <si>
    <t>PORTEIRA AGROPECUARIA LTDA</t>
  </si>
  <si>
    <t>JAMAR AGROCENTER</t>
  </si>
  <si>
    <t>AGROVERDE COMERCIO DE PRODUTOS AGROPECUARIOS LTDA</t>
  </si>
  <si>
    <t>ALICE CRISTINA CARVALHO FONSECA</t>
  </si>
  <si>
    <t>FENO PRISMATICO II 25KG</t>
  </si>
  <si>
    <t>IVANILDO CARDOSO DA SILVA</t>
  </si>
  <si>
    <t>PRE SECADO III</t>
  </si>
  <si>
    <t>WILSON GUEDES DA CRUZ</t>
  </si>
  <si>
    <t>FENO CILINDRICO IV</t>
  </si>
  <si>
    <t>OSMAR ALVES BRAGA</t>
  </si>
  <si>
    <t>PATROAGRO</t>
  </si>
  <si>
    <t>PINDORAMA AGROPECUARIA LTDA - ME</t>
  </si>
  <si>
    <t>FELIPPE DE BARROS CARVALHO</t>
  </si>
  <si>
    <t>FENO CILINDRICO PREMIUM</t>
  </si>
  <si>
    <t>AGROPECUARIA CENCI LTDA</t>
  </si>
  <si>
    <t>HENRIQUE AUGUSTO PINTO RESENDE</t>
  </si>
  <si>
    <t>MILTON</t>
  </si>
  <si>
    <t>COMERCIAL AGRICOLA LTDA</t>
  </si>
  <si>
    <t>CLARINDO ANTONIO DE AZEVEDO</t>
  </si>
  <si>
    <t>NOVILHO DE 13 A 24 MESES</t>
  </si>
  <si>
    <t>UN</t>
  </si>
  <si>
    <t>NELORE VISUAL</t>
  </si>
  <si>
    <t>MURILO MARTINS AMARAL</t>
  </si>
  <si>
    <t>NOVILHO DE 25 A 36 MESES</t>
  </si>
  <si>
    <t>DANIELA FERREIRA DA SILVA</t>
  </si>
  <si>
    <t>BRUNA</t>
  </si>
  <si>
    <t>FENO PRISMATICO IV 25KG</t>
  </si>
  <si>
    <t>MINAS RURAL AGRO NEGOCIOS LTDA</t>
  </si>
  <si>
    <t>COOPERATIVA AGRO PECUARIA VALE DO SANTO ANTONIO LTDA</t>
  </si>
  <si>
    <t>FENO PRISMATICO I 35KG</t>
  </si>
  <si>
    <t>VOLKMAR BERGER</t>
  </si>
  <si>
    <t>FENO CILINDRICO II</t>
  </si>
  <si>
    <t>J7 AGROPECUARIA LTDA</t>
  </si>
  <si>
    <t>ALIMENTACAO EMPRESARIAL ATL EIRELI - ME</t>
  </si>
  <si>
    <t>CABALLUS HIPICA E EVENTOS LTDA</t>
  </si>
  <si>
    <t>RAIMUNDO MOREIRA JUNIOR</t>
  </si>
  <si>
    <t>DAOUDY RODRIGUES SALES</t>
  </si>
  <si>
    <t>ROGERIO XAVIER MAGALHAES</t>
  </si>
  <si>
    <t>FENO PRISMATICO II 35KG</t>
  </si>
  <si>
    <t>AGROPECUARIA FAZENDA NOSSA EIRELI</t>
  </si>
  <si>
    <t>VICTOR ALMEIDA VALENTIM</t>
  </si>
  <si>
    <t>GRUMARIM AGROPECUARIA LTDA</t>
  </si>
  <si>
    <t>CASSIO ALEXANDRE COSTA MAGALHAES JUNIOR</t>
  </si>
  <si>
    <t>RANCHO YCAMBI LTDA</t>
  </si>
  <si>
    <t>CELSO JOSE DE MELO</t>
  </si>
  <si>
    <t>HARAS VJR</t>
  </si>
  <si>
    <t>WILLIAM CRISTIAN DE SANTANA</t>
  </si>
  <si>
    <t>COOPERATIVA AGRO PECUARIA VALE DO RIO DOCE LTDA</t>
  </si>
  <si>
    <t>CLINICA VETERINARIA RBV LTDA</t>
  </si>
  <si>
    <t>VALERIO LOPES RODRIGUES</t>
  </si>
  <si>
    <t>HARAS ANANU AGROPECUARIA LTDA</t>
  </si>
  <si>
    <t>RENAN BERGER</t>
  </si>
  <si>
    <t>SMCL LTDA</t>
  </si>
  <si>
    <t>PEDRO JUSCELINO DO AMARAL PINTO</t>
  </si>
  <si>
    <t>MURILO BRAGA ZICA</t>
  </si>
  <si>
    <t>FT SPORT HORSES LTDA</t>
  </si>
  <si>
    <t>ALCIDES ANDRADE ARAUJO JUNIOR</t>
  </si>
  <si>
    <t>MARCOS CORTELETTI</t>
  </si>
  <si>
    <t>RAQUELLI BALARINI</t>
  </si>
  <si>
    <t>TERRA DE MINAS AGROPECUARIA LTDA</t>
  </si>
  <si>
    <t>EDUARDO LUIZ DE FARIA</t>
  </si>
  <si>
    <t>MAURILIO GOMES DIAS</t>
  </si>
  <si>
    <t>HELVECIO OLIVEIRA COIMBRA</t>
  </si>
  <si>
    <t>NUCLEO DE CRIADORES DE GIR LEITEIRO E GIROLANDO DOS VALES</t>
  </si>
  <si>
    <t>DUGRAO INDUSTRIA E COMERCIO DE RACAO LTDA</t>
  </si>
  <si>
    <t>MONICA MARCHETT</t>
  </si>
  <si>
    <t>MSR VET</t>
  </si>
  <si>
    <t>GUSTAVO FREDERICO BURGER AGUIAR</t>
  </si>
  <si>
    <t>UBERABA RACOES E FERRAGENS LTDA</t>
  </si>
  <si>
    <t>ANTONIO CELSO AMERICANO</t>
  </si>
  <si>
    <t>PRE SECADO DIAMOND</t>
  </si>
  <si>
    <t>SAGRADA FAMILIA</t>
  </si>
  <si>
    <t>COOPERATIVA AGRO PECUARIA DE BOA ESPERANCA LTDA</t>
  </si>
  <si>
    <t>FAZENDA E HARAS BOA VISTA LTDA</t>
  </si>
  <si>
    <t>TOMONORI TAKAHA</t>
  </si>
  <si>
    <t>ARENALDO JOSE DE OLIVEIRA</t>
  </si>
  <si>
    <t>CONSORCIO GESTAO FAUNA</t>
  </si>
  <si>
    <t>SEBASTIAO DE BARROS QUINTAO</t>
  </si>
  <si>
    <t>ROBSON GONCALVES FERREIRA JUNIOR</t>
  </si>
  <si>
    <t>NUTRI TOP AGROPECUARIA LTDA</t>
  </si>
  <si>
    <t>MARCOS MARTINS DE ANDRADE</t>
  </si>
  <si>
    <t>JOSE MARCIO DE SIMONI SILVEIRA</t>
  </si>
  <si>
    <t>WALMIR GARCIA RODRIGUES</t>
  </si>
  <si>
    <t>RICARDO PIMENTA</t>
  </si>
  <si>
    <t>ADALBERTO APARECIDO VICENTE</t>
  </si>
  <si>
    <t>HEDEILSON ALVES DE FIGUEIREDO</t>
  </si>
  <si>
    <t>HEDEILSON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</si>
</sst>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4"/>
      <name val="Arial"/>
    </font>
    <font>
      <b/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right"/>
    </xf>
    <xf numFmtId="14" fontId="0" fillId="0" borderId="0" xfId="0" applyNumberFormat="1" applyAlignment="1">
      <alignment horizontal="center"/>
    </xf>
    <xf numFmtId="4" fontId="0" fillId="0" borderId="0" xfId="0" applyNumberFormat="1"/>
    <xf numFmtId="4" fontId="3" fillId="2" borderId="0" xfId="0" applyNumberFormat="1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topLeftCell="L70" workbookViewId="0">
      <selection activeCell="A3" sqref="A3:W95"/>
    </sheetView>
  </sheetViews>
  <sheetFormatPr defaultRowHeight="14.4" x14ac:dyDescent="0.3"/>
  <cols>
    <col min="1" max="1" width="18.21875" customWidth="1"/>
    <col min="2" max="2" width="20.109375" customWidth="1"/>
    <col min="3" max="3" width="9.33203125" customWidth="1"/>
    <col min="4" max="4" width="54" customWidth="1"/>
    <col min="5" max="5" width="9.33203125" customWidth="1"/>
    <col min="6" max="6" width="41.6640625" customWidth="1"/>
    <col min="7" max="7" width="14.109375" customWidth="1"/>
    <col min="8" max="8" width="19.109375" customWidth="1"/>
    <col min="9" max="9" width="12.109375" bestFit="1" customWidth="1"/>
    <col min="10" max="10" width="13.109375" customWidth="1"/>
    <col min="11" max="11" width="19.6640625" customWidth="1"/>
    <col min="12" max="12" width="21.33203125" customWidth="1"/>
    <col min="13" max="13" width="15.33203125" customWidth="1"/>
    <col min="14" max="14" width="12.21875" customWidth="1"/>
    <col min="15" max="15" width="13.109375" customWidth="1"/>
    <col min="16" max="16" width="15.33203125" customWidth="1"/>
    <col min="17" max="17" width="14.6640625" customWidth="1"/>
    <col min="18" max="19" width="13.109375" customWidth="1"/>
    <col min="20" max="20" width="21.33203125" customWidth="1"/>
    <col min="21" max="21" width="20.6640625" customWidth="1"/>
    <col min="22" max="22" width="19.6640625" customWidth="1"/>
    <col min="23" max="23" width="21" customWidth="1"/>
  </cols>
  <sheetData>
    <row r="1" spans="1:23" ht="17.399999999999999" x14ac:dyDescent="0.3">
      <c r="A1" s="5" t="s">
        <v>0</v>
      </c>
      <c r="B1" s="6"/>
      <c r="C1" s="6"/>
      <c r="D1" s="6"/>
      <c r="E1" s="6"/>
      <c r="F1" s="6"/>
      <c r="G1" s="6"/>
      <c r="H1" s="6"/>
    </row>
    <row r="2" spans="1:23" x14ac:dyDescent="0.3">
      <c r="A2" t="s">
        <v>1</v>
      </c>
      <c r="B2" t="s">
        <v>2</v>
      </c>
      <c r="C2" t="s">
        <v>3</v>
      </c>
    </row>
    <row r="3" spans="1:23" x14ac:dyDescent="0.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  <c r="P3" s="1" t="s">
        <v>19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25</v>
      </c>
      <c r="W3" s="1" t="s">
        <v>26</v>
      </c>
    </row>
    <row r="4" spans="1:23" x14ac:dyDescent="0.3">
      <c r="A4" t="s">
        <v>27</v>
      </c>
      <c r="B4">
        <v>630</v>
      </c>
      <c r="C4">
        <v>2077</v>
      </c>
      <c r="D4" t="s">
        <v>28</v>
      </c>
      <c r="E4">
        <v>4</v>
      </c>
      <c r="F4" t="s">
        <v>29</v>
      </c>
      <c r="G4" s="2">
        <v>46212</v>
      </c>
      <c r="H4" s="3">
        <v>544</v>
      </c>
      <c r="I4" s="3">
        <v>340</v>
      </c>
      <c r="J4" t="s">
        <v>30</v>
      </c>
      <c r="K4" s="3">
        <v>1.6</v>
      </c>
      <c r="L4" t="s">
        <v>31</v>
      </c>
      <c r="M4">
        <v>4</v>
      </c>
      <c r="N4" s="3">
        <v>1.6</v>
      </c>
      <c r="O4">
        <v>1110</v>
      </c>
      <c r="P4" s="3">
        <v>0</v>
      </c>
      <c r="Q4" s="3">
        <v>544</v>
      </c>
      <c r="R4" s="3">
        <v>0</v>
      </c>
      <c r="S4">
        <v>1103</v>
      </c>
      <c r="T4" s="3">
        <v>544</v>
      </c>
      <c r="W4" s="3">
        <v>2</v>
      </c>
    </row>
    <row r="5" spans="1:23" x14ac:dyDescent="0.3">
      <c r="A5" t="s">
        <v>27</v>
      </c>
      <c r="B5">
        <v>637</v>
      </c>
      <c r="C5">
        <v>1352</v>
      </c>
      <c r="D5" t="s">
        <v>32</v>
      </c>
      <c r="E5">
        <v>2</v>
      </c>
      <c r="F5" t="s">
        <v>33</v>
      </c>
      <c r="G5" s="2">
        <v>46216</v>
      </c>
      <c r="H5" s="3">
        <v>1320</v>
      </c>
      <c r="I5" s="3">
        <v>550</v>
      </c>
      <c r="J5" t="s">
        <v>30</v>
      </c>
      <c r="K5" s="3">
        <v>2.4</v>
      </c>
      <c r="L5" t="s">
        <v>31</v>
      </c>
      <c r="M5">
        <v>4</v>
      </c>
      <c r="N5" s="3">
        <v>2.4</v>
      </c>
      <c r="O5">
        <v>1208</v>
      </c>
      <c r="P5" s="3">
        <v>0</v>
      </c>
      <c r="Q5" s="3">
        <v>1320</v>
      </c>
      <c r="R5" s="3">
        <v>0</v>
      </c>
      <c r="S5">
        <v>1103</v>
      </c>
      <c r="T5" s="3">
        <v>1320</v>
      </c>
      <c r="W5" s="3">
        <v>2.4</v>
      </c>
    </row>
    <row r="6" spans="1:23" x14ac:dyDescent="0.3">
      <c r="A6" t="s">
        <v>27</v>
      </c>
      <c r="B6">
        <v>625</v>
      </c>
      <c r="C6">
        <v>4737</v>
      </c>
      <c r="D6" t="s">
        <v>34</v>
      </c>
      <c r="E6">
        <v>4</v>
      </c>
      <c r="F6" t="s">
        <v>29</v>
      </c>
      <c r="G6" s="2">
        <v>46210</v>
      </c>
      <c r="H6" s="3">
        <v>1536</v>
      </c>
      <c r="I6" s="3">
        <v>960</v>
      </c>
      <c r="J6" t="s">
        <v>30</v>
      </c>
      <c r="K6" s="3">
        <v>1.6</v>
      </c>
      <c r="L6" t="s">
        <v>31</v>
      </c>
      <c r="M6">
        <v>4</v>
      </c>
      <c r="N6" s="3">
        <v>1.6</v>
      </c>
      <c r="O6">
        <v>1108</v>
      </c>
      <c r="P6" s="3">
        <v>0</v>
      </c>
      <c r="Q6" s="3">
        <v>1536</v>
      </c>
      <c r="R6" s="3">
        <v>0</v>
      </c>
      <c r="S6">
        <v>1103</v>
      </c>
      <c r="T6" s="3">
        <v>1536</v>
      </c>
      <c r="W6" s="3">
        <v>0</v>
      </c>
    </row>
    <row r="7" spans="1:23" x14ac:dyDescent="0.3">
      <c r="A7" t="s">
        <v>27</v>
      </c>
      <c r="B7">
        <v>638</v>
      </c>
      <c r="C7">
        <v>7061</v>
      </c>
      <c r="D7" t="s">
        <v>35</v>
      </c>
      <c r="E7">
        <v>1</v>
      </c>
      <c r="F7" t="s">
        <v>36</v>
      </c>
      <c r="G7" s="2">
        <v>46216</v>
      </c>
      <c r="H7" s="3">
        <v>576</v>
      </c>
      <c r="I7" s="3">
        <v>240</v>
      </c>
      <c r="J7" t="s">
        <v>30</v>
      </c>
      <c r="K7" s="3">
        <v>2.4</v>
      </c>
      <c r="L7" t="s">
        <v>31</v>
      </c>
      <c r="M7">
        <v>4</v>
      </c>
      <c r="N7" s="3">
        <v>2.4</v>
      </c>
      <c r="O7">
        <v>1212</v>
      </c>
      <c r="P7" s="3">
        <v>0</v>
      </c>
      <c r="Q7" s="3">
        <v>576</v>
      </c>
      <c r="R7" s="3">
        <v>0</v>
      </c>
      <c r="S7">
        <v>1103</v>
      </c>
      <c r="T7" s="3">
        <v>576</v>
      </c>
      <c r="W7" s="3">
        <v>0</v>
      </c>
    </row>
    <row r="8" spans="1:23" x14ac:dyDescent="0.3">
      <c r="A8" t="s">
        <v>27</v>
      </c>
      <c r="B8">
        <v>623</v>
      </c>
      <c r="C8">
        <v>6741</v>
      </c>
      <c r="D8" t="s">
        <v>37</v>
      </c>
      <c r="E8">
        <v>4</v>
      </c>
      <c r="F8" t="s">
        <v>29</v>
      </c>
      <c r="G8" s="2">
        <v>46206</v>
      </c>
      <c r="H8" s="3">
        <v>771.22</v>
      </c>
      <c r="I8" s="3">
        <v>490</v>
      </c>
      <c r="J8" t="s">
        <v>30</v>
      </c>
      <c r="K8" s="3">
        <v>1.6</v>
      </c>
      <c r="L8" t="s">
        <v>31</v>
      </c>
      <c r="M8">
        <v>4</v>
      </c>
      <c r="N8" s="3">
        <v>1.57</v>
      </c>
      <c r="O8">
        <v>1109</v>
      </c>
      <c r="P8" s="3">
        <v>0.03</v>
      </c>
      <c r="Q8" s="3">
        <v>771.22</v>
      </c>
      <c r="R8" s="3">
        <v>0</v>
      </c>
      <c r="S8">
        <v>1103</v>
      </c>
      <c r="T8" s="3">
        <v>784</v>
      </c>
      <c r="W8" s="3">
        <v>1.6</v>
      </c>
    </row>
    <row r="9" spans="1:23" x14ac:dyDescent="0.3">
      <c r="A9" t="s">
        <v>27</v>
      </c>
      <c r="B9">
        <v>2969</v>
      </c>
      <c r="C9">
        <v>7052</v>
      </c>
      <c r="D9" t="s">
        <v>38</v>
      </c>
      <c r="E9">
        <v>2</v>
      </c>
      <c r="F9" t="s">
        <v>33</v>
      </c>
      <c r="G9" s="2">
        <v>46214</v>
      </c>
      <c r="H9" s="3">
        <v>19245.2</v>
      </c>
      <c r="I9" s="3">
        <v>7710</v>
      </c>
      <c r="J9" t="s">
        <v>30</v>
      </c>
      <c r="K9" s="3">
        <v>2.12</v>
      </c>
      <c r="L9" t="s">
        <v>39</v>
      </c>
      <c r="M9">
        <v>20</v>
      </c>
      <c r="N9" s="3">
        <v>2.5</v>
      </c>
      <c r="O9">
        <v>1207</v>
      </c>
      <c r="P9" s="3">
        <v>-0.38</v>
      </c>
      <c r="Q9" s="3">
        <v>19245.2</v>
      </c>
      <c r="R9" s="3">
        <v>0</v>
      </c>
      <c r="S9">
        <v>1103</v>
      </c>
      <c r="T9" s="3">
        <v>16345.2</v>
      </c>
      <c r="W9" s="3">
        <v>0</v>
      </c>
    </row>
    <row r="10" spans="1:23" x14ac:dyDescent="0.3">
      <c r="A10" t="s">
        <v>27</v>
      </c>
      <c r="B10">
        <v>2946</v>
      </c>
      <c r="C10">
        <v>5475</v>
      </c>
      <c r="D10" t="s">
        <v>40</v>
      </c>
      <c r="E10">
        <v>2</v>
      </c>
      <c r="F10" t="s">
        <v>33</v>
      </c>
      <c r="G10" s="2">
        <v>46211</v>
      </c>
      <c r="H10" s="3">
        <v>18414.47</v>
      </c>
      <c r="I10" s="3">
        <v>8830</v>
      </c>
      <c r="J10" t="s">
        <v>30</v>
      </c>
      <c r="K10" s="3">
        <v>2.12</v>
      </c>
      <c r="L10" t="s">
        <v>39</v>
      </c>
      <c r="M10">
        <v>20</v>
      </c>
      <c r="N10" s="3">
        <v>2.09</v>
      </c>
      <c r="O10">
        <v>1207</v>
      </c>
      <c r="P10" s="3">
        <v>0.03</v>
      </c>
      <c r="Q10" s="3">
        <v>18414.47</v>
      </c>
      <c r="R10" s="3">
        <v>0</v>
      </c>
      <c r="S10">
        <v>1103</v>
      </c>
      <c r="T10" s="3">
        <v>18719.599999999999</v>
      </c>
      <c r="W10" s="3">
        <v>2.12</v>
      </c>
    </row>
    <row r="11" spans="1:23" x14ac:dyDescent="0.3">
      <c r="A11" t="s">
        <v>27</v>
      </c>
      <c r="B11">
        <v>2958</v>
      </c>
      <c r="C11">
        <v>7045</v>
      </c>
      <c r="D11" t="s">
        <v>41</v>
      </c>
      <c r="E11">
        <v>2</v>
      </c>
      <c r="F11" t="s">
        <v>33</v>
      </c>
      <c r="G11" s="2">
        <v>46213</v>
      </c>
      <c r="H11" s="3">
        <v>19988.84</v>
      </c>
      <c r="I11" s="3">
        <v>8530</v>
      </c>
      <c r="J11" t="s">
        <v>30</v>
      </c>
      <c r="K11" s="3">
        <v>2.12</v>
      </c>
      <c r="L11" t="s">
        <v>39</v>
      </c>
      <c r="M11">
        <v>20</v>
      </c>
      <c r="N11" s="3">
        <v>2.34</v>
      </c>
      <c r="O11">
        <v>1207</v>
      </c>
      <c r="P11" s="3">
        <v>-0.22</v>
      </c>
      <c r="Q11" s="3">
        <v>19988.84</v>
      </c>
      <c r="R11" s="3">
        <v>0</v>
      </c>
      <c r="S11">
        <v>1103</v>
      </c>
      <c r="T11" s="3">
        <v>18083.599999999999</v>
      </c>
      <c r="W11" s="3">
        <v>0</v>
      </c>
    </row>
    <row r="12" spans="1:23" x14ac:dyDescent="0.3">
      <c r="A12" t="s">
        <v>27</v>
      </c>
      <c r="B12">
        <v>2938</v>
      </c>
      <c r="C12">
        <v>5706</v>
      </c>
      <c r="D12" t="s">
        <v>42</v>
      </c>
      <c r="E12">
        <v>7</v>
      </c>
      <c r="F12" t="s">
        <v>43</v>
      </c>
      <c r="G12" s="2">
        <v>46211</v>
      </c>
      <c r="H12" s="3">
        <v>784.4</v>
      </c>
      <c r="I12" s="3">
        <v>370</v>
      </c>
      <c r="J12" t="s">
        <v>30</v>
      </c>
      <c r="K12" s="3">
        <v>2.12</v>
      </c>
      <c r="L12" t="s">
        <v>39</v>
      </c>
      <c r="M12">
        <v>20</v>
      </c>
      <c r="N12" s="3">
        <v>2.12</v>
      </c>
      <c r="O12">
        <v>1601</v>
      </c>
      <c r="P12" s="3">
        <v>0</v>
      </c>
      <c r="Q12" s="3">
        <v>784.4</v>
      </c>
      <c r="R12" s="3">
        <v>0</v>
      </c>
      <c r="S12">
        <v>1103</v>
      </c>
      <c r="T12" s="3">
        <v>784.4</v>
      </c>
      <c r="W12" s="3">
        <v>2.12</v>
      </c>
    </row>
    <row r="13" spans="1:23" x14ac:dyDescent="0.3">
      <c r="A13" t="s">
        <v>27</v>
      </c>
      <c r="B13">
        <v>2938</v>
      </c>
      <c r="C13">
        <v>5706</v>
      </c>
      <c r="D13" t="s">
        <v>42</v>
      </c>
      <c r="E13">
        <v>13</v>
      </c>
      <c r="F13" t="s">
        <v>44</v>
      </c>
      <c r="G13" s="2">
        <v>46211</v>
      </c>
      <c r="H13" s="3">
        <v>331.5</v>
      </c>
      <c r="I13" s="3">
        <v>390</v>
      </c>
      <c r="J13" t="s">
        <v>30</v>
      </c>
      <c r="K13" s="3">
        <v>0.85</v>
      </c>
      <c r="L13" t="s">
        <v>39</v>
      </c>
      <c r="M13">
        <v>20</v>
      </c>
      <c r="N13" s="3">
        <v>0.85</v>
      </c>
      <c r="O13">
        <v>1601</v>
      </c>
      <c r="P13" s="3">
        <v>0</v>
      </c>
      <c r="Q13" s="3">
        <v>331.5</v>
      </c>
      <c r="R13" s="3">
        <v>0</v>
      </c>
      <c r="S13">
        <v>1103</v>
      </c>
      <c r="T13" s="3">
        <v>331.5</v>
      </c>
      <c r="W13" s="3">
        <v>0</v>
      </c>
    </row>
    <row r="14" spans="1:23" x14ac:dyDescent="0.3">
      <c r="A14" t="s">
        <v>27</v>
      </c>
      <c r="B14">
        <v>2951</v>
      </c>
      <c r="C14">
        <v>6651</v>
      </c>
      <c r="D14" t="s">
        <v>45</v>
      </c>
      <c r="E14">
        <v>12</v>
      </c>
      <c r="F14" t="s">
        <v>46</v>
      </c>
      <c r="G14" s="2">
        <v>46211</v>
      </c>
      <c r="H14" s="3">
        <v>519.39</v>
      </c>
      <c r="I14" s="3">
        <v>440</v>
      </c>
      <c r="J14" t="s">
        <v>30</v>
      </c>
      <c r="K14" s="3">
        <v>1.2</v>
      </c>
      <c r="L14" t="s">
        <v>39</v>
      </c>
      <c r="M14">
        <v>20</v>
      </c>
      <c r="N14" s="3">
        <v>1.18</v>
      </c>
      <c r="O14">
        <v>1601</v>
      </c>
      <c r="P14" s="3">
        <v>0.02</v>
      </c>
      <c r="Q14" s="3">
        <v>519.39</v>
      </c>
      <c r="R14" s="3">
        <v>0</v>
      </c>
      <c r="S14">
        <v>1103</v>
      </c>
      <c r="T14" s="3">
        <v>528</v>
      </c>
      <c r="W14" s="3">
        <v>0</v>
      </c>
    </row>
    <row r="15" spans="1:23" x14ac:dyDescent="0.3">
      <c r="A15" t="s">
        <v>27</v>
      </c>
      <c r="B15">
        <v>2951</v>
      </c>
      <c r="C15">
        <v>6651</v>
      </c>
      <c r="D15" t="s">
        <v>45</v>
      </c>
      <c r="E15">
        <v>13</v>
      </c>
      <c r="F15" t="s">
        <v>44</v>
      </c>
      <c r="G15" s="2">
        <v>46211</v>
      </c>
      <c r="H15" s="3">
        <v>9130.7099999999991</v>
      </c>
      <c r="I15" s="3">
        <v>10920</v>
      </c>
      <c r="J15" t="s">
        <v>30</v>
      </c>
      <c r="K15" s="3">
        <v>0.85</v>
      </c>
      <c r="L15" t="s">
        <v>39</v>
      </c>
      <c r="M15">
        <v>20</v>
      </c>
      <c r="N15" s="3">
        <v>0.84</v>
      </c>
      <c r="O15">
        <v>1601</v>
      </c>
      <c r="P15" s="3">
        <v>0.01</v>
      </c>
      <c r="Q15" s="3">
        <v>9130.7099999999991</v>
      </c>
      <c r="R15" s="3">
        <v>0</v>
      </c>
      <c r="S15">
        <v>1103</v>
      </c>
      <c r="T15" s="3">
        <v>9282</v>
      </c>
      <c r="W15" s="3">
        <v>0</v>
      </c>
    </row>
    <row r="16" spans="1:23" x14ac:dyDescent="0.3">
      <c r="A16" t="s">
        <v>27</v>
      </c>
      <c r="B16">
        <v>629</v>
      </c>
      <c r="C16">
        <v>6548</v>
      </c>
      <c r="D16" t="s">
        <v>47</v>
      </c>
      <c r="E16">
        <v>12</v>
      </c>
      <c r="F16" t="s">
        <v>46</v>
      </c>
      <c r="G16" s="2">
        <v>46212</v>
      </c>
      <c r="H16" s="3">
        <v>6636</v>
      </c>
      <c r="I16" s="3">
        <v>5530</v>
      </c>
      <c r="J16" t="s">
        <v>30</v>
      </c>
      <c r="K16" s="3">
        <v>1.2</v>
      </c>
      <c r="L16" t="s">
        <v>39</v>
      </c>
      <c r="M16">
        <v>20</v>
      </c>
      <c r="N16" s="3">
        <v>1.2</v>
      </c>
      <c r="O16">
        <v>1601</v>
      </c>
      <c r="P16" s="3">
        <v>0</v>
      </c>
      <c r="Q16" s="3">
        <v>6636</v>
      </c>
      <c r="R16" s="3">
        <v>0</v>
      </c>
      <c r="S16">
        <v>1103</v>
      </c>
      <c r="T16" s="3">
        <v>6636</v>
      </c>
      <c r="W16" s="3">
        <v>1.2</v>
      </c>
    </row>
    <row r="17" spans="1:23" x14ac:dyDescent="0.3">
      <c r="A17" t="s">
        <v>27</v>
      </c>
      <c r="B17">
        <v>2940</v>
      </c>
      <c r="C17">
        <v>4917</v>
      </c>
      <c r="D17" t="s">
        <v>48</v>
      </c>
      <c r="E17">
        <v>13</v>
      </c>
      <c r="F17" t="s">
        <v>44</v>
      </c>
      <c r="G17" s="2">
        <v>46211</v>
      </c>
      <c r="H17" s="3">
        <v>11614.05</v>
      </c>
      <c r="I17" s="3">
        <v>13890</v>
      </c>
      <c r="J17" t="s">
        <v>30</v>
      </c>
      <c r="K17" s="3">
        <v>0.85</v>
      </c>
      <c r="L17" t="s">
        <v>39</v>
      </c>
      <c r="M17">
        <v>20</v>
      </c>
      <c r="N17" s="3">
        <v>0.84</v>
      </c>
      <c r="O17">
        <v>1601</v>
      </c>
      <c r="P17" s="3">
        <v>0.01</v>
      </c>
      <c r="Q17" s="3">
        <v>11614.05</v>
      </c>
      <c r="R17" s="3">
        <v>0</v>
      </c>
      <c r="S17">
        <v>1103</v>
      </c>
      <c r="T17" s="3">
        <v>11806.5</v>
      </c>
      <c r="W17" s="3">
        <v>0.85</v>
      </c>
    </row>
    <row r="18" spans="1:23" x14ac:dyDescent="0.3">
      <c r="A18" t="s">
        <v>27</v>
      </c>
      <c r="B18">
        <v>2936</v>
      </c>
      <c r="C18">
        <v>6336</v>
      </c>
      <c r="D18" t="s">
        <v>49</v>
      </c>
      <c r="E18">
        <v>12</v>
      </c>
      <c r="F18" t="s">
        <v>46</v>
      </c>
      <c r="G18" s="2">
        <v>46210</v>
      </c>
      <c r="H18" s="3">
        <v>3399.67</v>
      </c>
      <c r="I18" s="3">
        <v>2880</v>
      </c>
      <c r="J18" t="s">
        <v>30</v>
      </c>
      <c r="K18" s="3">
        <v>1.2</v>
      </c>
      <c r="L18" t="s">
        <v>39</v>
      </c>
      <c r="M18">
        <v>20</v>
      </c>
      <c r="N18" s="3">
        <v>1.18</v>
      </c>
      <c r="O18">
        <v>1601</v>
      </c>
      <c r="P18" s="3">
        <v>0.02</v>
      </c>
      <c r="Q18" s="3">
        <v>3399.67</v>
      </c>
      <c r="R18" s="3">
        <v>0</v>
      </c>
      <c r="S18">
        <v>1103</v>
      </c>
      <c r="T18" s="3">
        <v>3456</v>
      </c>
      <c r="W18" s="3">
        <v>0</v>
      </c>
    </row>
    <row r="19" spans="1:23" x14ac:dyDescent="0.3">
      <c r="A19" t="s">
        <v>27</v>
      </c>
      <c r="B19">
        <v>2952</v>
      </c>
      <c r="C19">
        <v>5479</v>
      </c>
      <c r="D19" t="s">
        <v>50</v>
      </c>
      <c r="E19">
        <v>2</v>
      </c>
      <c r="F19" t="s">
        <v>33</v>
      </c>
      <c r="G19" s="2">
        <v>46212</v>
      </c>
      <c r="H19" s="3">
        <v>22622.49</v>
      </c>
      <c r="I19" s="3">
        <v>8660</v>
      </c>
      <c r="J19" t="s">
        <v>30</v>
      </c>
      <c r="K19" s="3">
        <v>2.2799999999999998</v>
      </c>
      <c r="L19" t="s">
        <v>39</v>
      </c>
      <c r="M19">
        <v>20</v>
      </c>
      <c r="N19" s="3">
        <v>2.61</v>
      </c>
      <c r="O19">
        <v>1207</v>
      </c>
      <c r="P19" s="3">
        <v>-0.33</v>
      </c>
      <c r="Q19" s="3">
        <v>22622.49</v>
      </c>
      <c r="R19" s="3">
        <v>0</v>
      </c>
      <c r="S19">
        <v>1100</v>
      </c>
      <c r="T19" s="3">
        <v>19744.8</v>
      </c>
      <c r="W19" s="3">
        <v>0</v>
      </c>
    </row>
    <row r="20" spans="1:23" x14ac:dyDescent="0.3">
      <c r="A20" t="s">
        <v>27</v>
      </c>
      <c r="B20">
        <v>2970</v>
      </c>
      <c r="C20">
        <v>1485</v>
      </c>
      <c r="D20" t="s">
        <v>51</v>
      </c>
      <c r="E20">
        <v>3</v>
      </c>
      <c r="F20" t="s">
        <v>52</v>
      </c>
      <c r="G20" s="2">
        <v>46214</v>
      </c>
      <c r="H20" s="3">
        <v>735</v>
      </c>
      <c r="I20" s="3">
        <v>420</v>
      </c>
      <c r="J20" t="s">
        <v>30</v>
      </c>
      <c r="K20" s="3">
        <v>1.75</v>
      </c>
      <c r="L20" t="s">
        <v>39</v>
      </c>
      <c r="M20">
        <v>20</v>
      </c>
      <c r="N20" s="3">
        <v>1.75</v>
      </c>
      <c r="O20">
        <v>1107</v>
      </c>
      <c r="P20" s="3">
        <v>0</v>
      </c>
      <c r="Q20" s="3">
        <v>735</v>
      </c>
      <c r="R20" s="3">
        <v>0</v>
      </c>
      <c r="S20">
        <v>1103</v>
      </c>
      <c r="T20" s="3">
        <v>735</v>
      </c>
      <c r="W20" s="3">
        <v>1.55</v>
      </c>
    </row>
    <row r="21" spans="1:23" x14ac:dyDescent="0.3">
      <c r="A21" t="s">
        <v>27</v>
      </c>
      <c r="B21">
        <v>2908</v>
      </c>
      <c r="C21">
        <v>7006</v>
      </c>
      <c r="D21" t="s">
        <v>53</v>
      </c>
      <c r="E21">
        <v>14</v>
      </c>
      <c r="F21" t="s">
        <v>54</v>
      </c>
      <c r="G21" s="2">
        <v>46204</v>
      </c>
      <c r="H21" s="3">
        <v>2218.5</v>
      </c>
      <c r="I21" s="3">
        <v>2610</v>
      </c>
      <c r="J21" t="s">
        <v>30</v>
      </c>
      <c r="K21" s="3">
        <v>0.85</v>
      </c>
      <c r="L21" t="s">
        <v>39</v>
      </c>
      <c r="M21">
        <v>20</v>
      </c>
      <c r="N21" s="3">
        <v>0.85</v>
      </c>
      <c r="O21">
        <v>1107</v>
      </c>
      <c r="P21" s="3">
        <v>0</v>
      </c>
      <c r="Q21" s="3">
        <v>2218.5</v>
      </c>
      <c r="R21" s="3">
        <v>0</v>
      </c>
      <c r="S21">
        <v>1103</v>
      </c>
      <c r="T21" s="3">
        <v>2218.5</v>
      </c>
      <c r="W21" s="3">
        <v>0</v>
      </c>
    </row>
    <row r="22" spans="1:23" x14ac:dyDescent="0.3">
      <c r="A22" t="s">
        <v>27</v>
      </c>
      <c r="B22">
        <v>2914</v>
      </c>
      <c r="C22">
        <v>5295</v>
      </c>
      <c r="D22" t="s">
        <v>55</v>
      </c>
      <c r="E22">
        <v>10</v>
      </c>
      <c r="F22" t="s">
        <v>56</v>
      </c>
      <c r="G22" s="2">
        <v>46205</v>
      </c>
      <c r="H22" s="3">
        <v>600</v>
      </c>
      <c r="I22" s="3">
        <v>600</v>
      </c>
      <c r="J22" t="s">
        <v>30</v>
      </c>
      <c r="K22" s="3">
        <v>1</v>
      </c>
      <c r="L22" t="s">
        <v>39</v>
      </c>
      <c r="M22">
        <v>20</v>
      </c>
      <c r="N22" s="3">
        <v>1</v>
      </c>
      <c r="O22">
        <v>1601</v>
      </c>
      <c r="P22" s="3">
        <v>0</v>
      </c>
      <c r="Q22" s="3">
        <v>600</v>
      </c>
      <c r="R22" s="3">
        <v>0</v>
      </c>
      <c r="S22">
        <v>1103</v>
      </c>
      <c r="T22" s="3">
        <v>600</v>
      </c>
      <c r="W22" s="3">
        <v>1.2</v>
      </c>
    </row>
    <row r="23" spans="1:23" x14ac:dyDescent="0.3">
      <c r="A23" t="s">
        <v>27</v>
      </c>
      <c r="B23">
        <v>2966</v>
      </c>
      <c r="C23">
        <v>7054</v>
      </c>
      <c r="D23" t="s">
        <v>57</v>
      </c>
      <c r="E23">
        <v>7</v>
      </c>
      <c r="F23" t="s">
        <v>43</v>
      </c>
      <c r="G23" s="2">
        <v>46214</v>
      </c>
      <c r="H23" s="3">
        <v>20323.2</v>
      </c>
      <c r="I23" s="3">
        <v>8360</v>
      </c>
      <c r="J23" t="s">
        <v>30</v>
      </c>
      <c r="K23" s="3">
        <v>2.12</v>
      </c>
      <c r="L23" t="s">
        <v>58</v>
      </c>
      <c r="M23">
        <v>21</v>
      </c>
      <c r="N23" s="3">
        <v>2.4300000000000002</v>
      </c>
      <c r="O23">
        <v>1601</v>
      </c>
      <c r="P23" s="3">
        <v>-0.31</v>
      </c>
      <c r="Q23" s="3">
        <v>20323.2</v>
      </c>
      <c r="R23" s="3">
        <v>0</v>
      </c>
      <c r="S23">
        <v>1103</v>
      </c>
      <c r="T23" s="3">
        <v>17723.2</v>
      </c>
      <c r="W23" s="3">
        <v>0</v>
      </c>
    </row>
    <row r="24" spans="1:23" x14ac:dyDescent="0.3">
      <c r="A24" t="s">
        <v>27</v>
      </c>
      <c r="B24">
        <v>2944</v>
      </c>
      <c r="C24">
        <v>1710</v>
      </c>
      <c r="D24" t="s">
        <v>59</v>
      </c>
      <c r="E24">
        <v>1</v>
      </c>
      <c r="F24" t="s">
        <v>36</v>
      </c>
      <c r="G24" s="2">
        <v>46211</v>
      </c>
      <c r="H24" s="3">
        <v>20437.63</v>
      </c>
      <c r="I24" s="3">
        <v>8280</v>
      </c>
      <c r="J24" t="s">
        <v>30</v>
      </c>
      <c r="K24" s="3">
        <v>2.19</v>
      </c>
      <c r="L24" t="s">
        <v>58</v>
      </c>
      <c r="M24">
        <v>21</v>
      </c>
      <c r="N24" s="3">
        <v>2.4700000000000002</v>
      </c>
      <c r="O24">
        <v>1107</v>
      </c>
      <c r="P24" s="3">
        <v>-0.28000000000000003</v>
      </c>
      <c r="Q24" s="3">
        <v>20437.63</v>
      </c>
      <c r="R24" s="3">
        <v>0</v>
      </c>
      <c r="S24">
        <v>1103</v>
      </c>
      <c r="T24" s="3">
        <v>18133.2</v>
      </c>
      <c r="W24" s="3">
        <v>2.1</v>
      </c>
    </row>
    <row r="25" spans="1:23" x14ac:dyDescent="0.3">
      <c r="A25" t="s">
        <v>27</v>
      </c>
      <c r="B25">
        <v>2968</v>
      </c>
      <c r="C25">
        <v>7055</v>
      </c>
      <c r="D25" t="s">
        <v>60</v>
      </c>
      <c r="E25">
        <v>6</v>
      </c>
      <c r="F25" t="s">
        <v>61</v>
      </c>
      <c r="G25" s="2">
        <v>46214</v>
      </c>
      <c r="H25" s="3">
        <v>22170</v>
      </c>
      <c r="I25" s="3">
        <v>8120</v>
      </c>
      <c r="J25" t="s">
        <v>30</v>
      </c>
      <c r="K25" s="3">
        <v>2.25</v>
      </c>
      <c r="L25" t="s">
        <v>58</v>
      </c>
      <c r="M25">
        <v>21</v>
      </c>
      <c r="N25" s="3">
        <v>2.73</v>
      </c>
      <c r="O25">
        <v>1601</v>
      </c>
      <c r="P25" s="3">
        <v>-0.48</v>
      </c>
      <c r="Q25" s="3">
        <v>22170</v>
      </c>
      <c r="R25" s="3">
        <v>0</v>
      </c>
      <c r="S25">
        <v>1103</v>
      </c>
      <c r="T25" s="3">
        <v>18270</v>
      </c>
      <c r="W25" s="3">
        <v>0</v>
      </c>
    </row>
    <row r="26" spans="1:23" x14ac:dyDescent="0.3">
      <c r="A26" t="s">
        <v>27</v>
      </c>
      <c r="B26">
        <v>2961</v>
      </c>
      <c r="C26">
        <v>5685</v>
      </c>
      <c r="D26" t="s">
        <v>62</v>
      </c>
      <c r="E26">
        <v>6</v>
      </c>
      <c r="F26" t="s">
        <v>61</v>
      </c>
      <c r="G26" s="2">
        <v>46213</v>
      </c>
      <c r="H26" s="3">
        <v>43967.59</v>
      </c>
      <c r="I26" s="3">
        <v>17380</v>
      </c>
      <c r="J26" t="s">
        <v>30</v>
      </c>
      <c r="K26" s="3">
        <v>2.25</v>
      </c>
      <c r="L26" t="s">
        <v>58</v>
      </c>
      <c r="M26">
        <v>21</v>
      </c>
      <c r="N26" s="3">
        <v>2.5299999999999998</v>
      </c>
      <c r="O26">
        <v>1601</v>
      </c>
      <c r="P26" s="3">
        <v>-0.28000000000000003</v>
      </c>
      <c r="Q26" s="3">
        <v>43967.59</v>
      </c>
      <c r="R26" s="3">
        <v>0</v>
      </c>
      <c r="S26">
        <v>1103</v>
      </c>
      <c r="T26" s="3">
        <v>39105</v>
      </c>
      <c r="W26" s="3">
        <v>2.25</v>
      </c>
    </row>
    <row r="27" spans="1:23" x14ac:dyDescent="0.3">
      <c r="A27" t="s">
        <v>27</v>
      </c>
      <c r="B27">
        <v>2939</v>
      </c>
      <c r="C27">
        <v>7016</v>
      </c>
      <c r="D27" t="s">
        <v>63</v>
      </c>
      <c r="E27">
        <v>7</v>
      </c>
      <c r="F27" t="s">
        <v>43</v>
      </c>
      <c r="G27" s="2">
        <v>46211</v>
      </c>
      <c r="H27" s="3">
        <v>23779.200000000001</v>
      </c>
      <c r="I27" s="3">
        <v>9660</v>
      </c>
      <c r="J27" t="s">
        <v>30</v>
      </c>
      <c r="K27" s="3">
        <v>2.12</v>
      </c>
      <c r="L27" t="s">
        <v>64</v>
      </c>
      <c r="M27">
        <v>24</v>
      </c>
      <c r="N27" s="3">
        <v>2.46</v>
      </c>
      <c r="O27">
        <v>1601</v>
      </c>
      <c r="P27" s="3">
        <v>-0.34</v>
      </c>
      <c r="Q27" s="3">
        <v>23779.200000000001</v>
      </c>
      <c r="R27" s="3">
        <v>0</v>
      </c>
      <c r="S27">
        <v>1103</v>
      </c>
      <c r="T27" s="3">
        <v>20479.2</v>
      </c>
      <c r="W27" s="3">
        <v>0</v>
      </c>
    </row>
    <row r="28" spans="1:23" x14ac:dyDescent="0.3">
      <c r="A28" t="s">
        <v>27</v>
      </c>
      <c r="B28">
        <v>2945</v>
      </c>
      <c r="C28">
        <v>6987</v>
      </c>
      <c r="D28" t="s">
        <v>65</v>
      </c>
      <c r="E28">
        <v>2</v>
      </c>
      <c r="F28" t="s">
        <v>33</v>
      </c>
      <c r="G28" s="2">
        <v>46211</v>
      </c>
      <c r="H28" s="3">
        <v>19932.96</v>
      </c>
      <c r="I28" s="3">
        <v>8060</v>
      </c>
      <c r="J28" t="s">
        <v>30</v>
      </c>
      <c r="K28" s="3">
        <v>2.06</v>
      </c>
      <c r="L28" t="s">
        <v>64</v>
      </c>
      <c r="M28">
        <v>24</v>
      </c>
      <c r="N28" s="3">
        <v>2.4700000000000002</v>
      </c>
      <c r="O28">
        <v>1207</v>
      </c>
      <c r="P28" s="3">
        <v>-0.41</v>
      </c>
      <c r="Q28" s="3">
        <v>19932.96</v>
      </c>
      <c r="R28" s="3">
        <v>0</v>
      </c>
      <c r="S28">
        <v>1103</v>
      </c>
      <c r="T28" s="3">
        <v>16603.599999999999</v>
      </c>
      <c r="W28" s="3">
        <v>0</v>
      </c>
    </row>
    <row r="29" spans="1:23" x14ac:dyDescent="0.3">
      <c r="A29" t="s">
        <v>27</v>
      </c>
      <c r="B29">
        <v>168</v>
      </c>
      <c r="C29">
        <v>7058</v>
      </c>
      <c r="D29" t="s">
        <v>66</v>
      </c>
      <c r="E29">
        <v>154</v>
      </c>
      <c r="F29" t="s">
        <v>67</v>
      </c>
      <c r="G29" s="2">
        <v>46216</v>
      </c>
      <c r="H29" s="3">
        <v>7000</v>
      </c>
      <c r="I29" s="3">
        <v>1</v>
      </c>
      <c r="J29" t="s">
        <v>68</v>
      </c>
      <c r="K29" s="3">
        <v>7000</v>
      </c>
      <c r="L29" t="s">
        <v>69</v>
      </c>
      <c r="M29">
        <v>8</v>
      </c>
      <c r="N29" s="3">
        <v>7000</v>
      </c>
      <c r="O29">
        <v>0</v>
      </c>
      <c r="P29" s="3">
        <v>0</v>
      </c>
      <c r="Q29" s="3">
        <v>7000</v>
      </c>
      <c r="R29" s="3">
        <v>0</v>
      </c>
      <c r="S29">
        <v>1100</v>
      </c>
      <c r="T29" s="3">
        <v>7000</v>
      </c>
      <c r="W29" s="3">
        <v>0</v>
      </c>
    </row>
    <row r="30" spans="1:23" x14ac:dyDescent="0.3">
      <c r="A30" t="s">
        <v>27</v>
      </c>
      <c r="B30">
        <v>167</v>
      </c>
      <c r="C30">
        <v>133</v>
      </c>
      <c r="D30" t="s">
        <v>70</v>
      </c>
      <c r="E30">
        <v>156</v>
      </c>
      <c r="F30" t="s">
        <v>71</v>
      </c>
      <c r="G30" s="2">
        <v>46205</v>
      </c>
      <c r="H30" s="3">
        <v>53662.48</v>
      </c>
      <c r="I30" s="3">
        <v>4</v>
      </c>
      <c r="J30" t="s">
        <v>68</v>
      </c>
      <c r="K30" s="3">
        <v>13415.62</v>
      </c>
      <c r="L30" t="s">
        <v>69</v>
      </c>
      <c r="M30">
        <v>8</v>
      </c>
      <c r="N30" s="3">
        <v>13415.62</v>
      </c>
      <c r="O30">
        <v>0</v>
      </c>
      <c r="P30" s="3">
        <v>0</v>
      </c>
      <c r="Q30" s="3">
        <v>53662.48</v>
      </c>
      <c r="R30" s="3">
        <v>0</v>
      </c>
      <c r="S30">
        <v>1100</v>
      </c>
      <c r="T30" s="3">
        <v>53662.48</v>
      </c>
      <c r="W30" s="3">
        <v>20000</v>
      </c>
    </row>
    <row r="31" spans="1:23" x14ac:dyDescent="0.3">
      <c r="A31" t="s">
        <v>27</v>
      </c>
      <c r="B31">
        <v>635</v>
      </c>
      <c r="C31">
        <v>5073</v>
      </c>
      <c r="D31" t="s">
        <v>72</v>
      </c>
      <c r="E31">
        <v>4</v>
      </c>
      <c r="F31" t="s">
        <v>29</v>
      </c>
      <c r="G31" s="2">
        <v>46216</v>
      </c>
      <c r="H31" s="3">
        <v>4421.03</v>
      </c>
      <c r="I31" s="3">
        <v>2730</v>
      </c>
      <c r="J31" t="s">
        <v>30</v>
      </c>
      <c r="K31" s="3">
        <v>1.45</v>
      </c>
      <c r="L31" t="s">
        <v>73</v>
      </c>
      <c r="M31">
        <v>13</v>
      </c>
      <c r="N31" s="3">
        <v>1.62</v>
      </c>
      <c r="O31">
        <v>1109</v>
      </c>
      <c r="P31" s="3">
        <v>-0.17</v>
      </c>
      <c r="Q31" s="3">
        <v>4421.03</v>
      </c>
      <c r="R31" s="3">
        <v>0</v>
      </c>
      <c r="S31">
        <v>1103</v>
      </c>
      <c r="T31" s="3">
        <v>3958.5</v>
      </c>
      <c r="W31" s="3">
        <v>0</v>
      </c>
    </row>
    <row r="32" spans="1:23" x14ac:dyDescent="0.3">
      <c r="A32" t="s">
        <v>27</v>
      </c>
      <c r="B32">
        <v>635</v>
      </c>
      <c r="C32">
        <v>5073</v>
      </c>
      <c r="D32" t="s">
        <v>72</v>
      </c>
      <c r="E32">
        <v>5</v>
      </c>
      <c r="F32" t="s">
        <v>74</v>
      </c>
      <c r="G32" s="2">
        <v>46216</v>
      </c>
      <c r="H32" s="3">
        <v>2289.5300000000002</v>
      </c>
      <c r="I32" s="3">
        <v>2050</v>
      </c>
      <c r="J32" t="s">
        <v>30</v>
      </c>
      <c r="K32" s="3">
        <v>1</v>
      </c>
      <c r="L32" t="s">
        <v>73</v>
      </c>
      <c r="M32">
        <v>13</v>
      </c>
      <c r="N32" s="3">
        <v>1.1200000000000001</v>
      </c>
      <c r="O32">
        <v>1212</v>
      </c>
      <c r="P32" s="3">
        <v>-0.12</v>
      </c>
      <c r="Q32" s="3">
        <v>2289.5300000000002</v>
      </c>
      <c r="R32" s="3">
        <v>0</v>
      </c>
      <c r="S32">
        <v>1103</v>
      </c>
      <c r="T32" s="3">
        <v>2050</v>
      </c>
      <c r="W32" s="3">
        <v>0</v>
      </c>
    </row>
    <row r="33" spans="1:23" x14ac:dyDescent="0.3">
      <c r="A33" t="s">
        <v>27</v>
      </c>
      <c r="B33">
        <v>636</v>
      </c>
      <c r="C33">
        <v>3524</v>
      </c>
      <c r="D33" t="s">
        <v>75</v>
      </c>
      <c r="E33">
        <v>1</v>
      </c>
      <c r="F33" t="s">
        <v>36</v>
      </c>
      <c r="G33" s="2">
        <v>46216</v>
      </c>
      <c r="H33" s="3">
        <v>18887.04</v>
      </c>
      <c r="I33" s="3">
        <v>8000</v>
      </c>
      <c r="J33" t="s">
        <v>30</v>
      </c>
      <c r="K33" s="3">
        <v>2.4</v>
      </c>
      <c r="L33" t="s">
        <v>73</v>
      </c>
      <c r="M33">
        <v>13</v>
      </c>
      <c r="N33" s="3">
        <v>2.36</v>
      </c>
      <c r="O33">
        <v>1214</v>
      </c>
      <c r="P33" s="3">
        <v>0.04</v>
      </c>
      <c r="Q33" s="3">
        <v>18887.04</v>
      </c>
      <c r="R33" s="3">
        <v>0</v>
      </c>
      <c r="S33">
        <v>1103</v>
      </c>
      <c r="T33" s="3">
        <v>19200</v>
      </c>
      <c r="W33" s="3">
        <v>2.2200000000000002</v>
      </c>
    </row>
    <row r="34" spans="1:23" x14ac:dyDescent="0.3">
      <c r="A34" t="s">
        <v>27</v>
      </c>
      <c r="B34">
        <v>2932</v>
      </c>
      <c r="C34">
        <v>118</v>
      </c>
      <c r="D34" t="s">
        <v>76</v>
      </c>
      <c r="E34">
        <v>85</v>
      </c>
      <c r="F34" t="s">
        <v>77</v>
      </c>
      <c r="G34" s="2">
        <v>46209</v>
      </c>
      <c r="H34" s="3">
        <v>21385.07</v>
      </c>
      <c r="I34" s="3">
        <v>8720</v>
      </c>
      <c r="J34" t="s">
        <v>30</v>
      </c>
      <c r="K34" s="3">
        <v>2.12</v>
      </c>
      <c r="L34" t="s">
        <v>73</v>
      </c>
      <c r="M34">
        <v>13</v>
      </c>
      <c r="N34" s="3">
        <v>2.4500000000000002</v>
      </c>
      <c r="O34">
        <v>1117</v>
      </c>
      <c r="P34" s="3">
        <v>-0.33</v>
      </c>
      <c r="Q34" s="3">
        <v>21385.07</v>
      </c>
      <c r="R34" s="3">
        <v>0</v>
      </c>
      <c r="S34">
        <v>1103</v>
      </c>
      <c r="T34" s="3">
        <v>18486.400000000001</v>
      </c>
      <c r="W34" s="3">
        <v>2.12</v>
      </c>
    </row>
    <row r="35" spans="1:23" x14ac:dyDescent="0.3">
      <c r="A35" t="s">
        <v>27</v>
      </c>
      <c r="B35">
        <v>2963</v>
      </c>
      <c r="C35">
        <v>6630</v>
      </c>
      <c r="D35" t="s">
        <v>78</v>
      </c>
      <c r="E35">
        <v>8</v>
      </c>
      <c r="F35" t="s">
        <v>79</v>
      </c>
      <c r="G35" s="2">
        <v>46214</v>
      </c>
      <c r="H35" s="3">
        <v>8140.7</v>
      </c>
      <c r="I35" s="3">
        <v>4520</v>
      </c>
      <c r="J35" t="s">
        <v>30</v>
      </c>
      <c r="K35" s="3">
        <v>1.88</v>
      </c>
      <c r="L35" t="s">
        <v>73</v>
      </c>
      <c r="M35">
        <v>13</v>
      </c>
      <c r="N35" s="3">
        <v>1.8</v>
      </c>
      <c r="O35">
        <v>1601</v>
      </c>
      <c r="P35" s="3">
        <v>0.08</v>
      </c>
      <c r="Q35" s="3">
        <v>8140.7</v>
      </c>
      <c r="R35" s="3">
        <v>0</v>
      </c>
      <c r="S35">
        <v>1705</v>
      </c>
      <c r="T35" s="3">
        <v>8497.6</v>
      </c>
      <c r="W35" s="3">
        <v>1.88</v>
      </c>
    </row>
    <row r="36" spans="1:23" x14ac:dyDescent="0.3">
      <c r="A36" t="s">
        <v>27</v>
      </c>
      <c r="B36">
        <v>2967</v>
      </c>
      <c r="C36">
        <v>3001</v>
      </c>
      <c r="D36" t="s">
        <v>80</v>
      </c>
      <c r="E36">
        <v>2</v>
      </c>
      <c r="F36" t="s">
        <v>33</v>
      </c>
      <c r="G36" s="2">
        <v>46214</v>
      </c>
      <c r="H36" s="3">
        <v>17995.36</v>
      </c>
      <c r="I36" s="3">
        <v>7670</v>
      </c>
      <c r="J36" t="s">
        <v>30</v>
      </c>
      <c r="K36" s="3">
        <v>2.12</v>
      </c>
      <c r="L36" t="s">
        <v>73</v>
      </c>
      <c r="M36">
        <v>13</v>
      </c>
      <c r="N36" s="3">
        <v>2.35</v>
      </c>
      <c r="O36">
        <v>1207</v>
      </c>
      <c r="P36" s="3">
        <v>-0.23</v>
      </c>
      <c r="Q36" s="3">
        <v>17995.36</v>
      </c>
      <c r="R36" s="3">
        <v>0</v>
      </c>
      <c r="S36">
        <v>1103</v>
      </c>
      <c r="T36" s="3">
        <v>16260.4</v>
      </c>
      <c r="W36" s="3">
        <v>2.12</v>
      </c>
    </row>
    <row r="37" spans="1:23" x14ac:dyDescent="0.3">
      <c r="A37" t="s">
        <v>27</v>
      </c>
      <c r="B37">
        <v>628</v>
      </c>
      <c r="C37">
        <v>1474</v>
      </c>
      <c r="D37" t="s">
        <v>81</v>
      </c>
      <c r="E37">
        <v>4</v>
      </c>
      <c r="F37" t="s">
        <v>29</v>
      </c>
      <c r="G37" s="2">
        <v>46212</v>
      </c>
      <c r="H37" s="3">
        <v>1446.04</v>
      </c>
      <c r="I37" s="3">
        <v>980</v>
      </c>
      <c r="J37" t="s">
        <v>30</v>
      </c>
      <c r="K37" s="3">
        <v>1.5</v>
      </c>
      <c r="L37" t="s">
        <v>73</v>
      </c>
      <c r="M37">
        <v>13</v>
      </c>
      <c r="N37" s="3">
        <v>1.48</v>
      </c>
      <c r="O37">
        <v>1107</v>
      </c>
      <c r="P37" s="3">
        <v>0.02</v>
      </c>
      <c r="Q37" s="3">
        <v>1446.04</v>
      </c>
      <c r="R37" s="3">
        <v>0</v>
      </c>
      <c r="S37">
        <v>1103</v>
      </c>
      <c r="T37" s="3">
        <v>1470</v>
      </c>
      <c r="W37" s="3">
        <v>0</v>
      </c>
    </row>
    <row r="38" spans="1:23" x14ac:dyDescent="0.3">
      <c r="A38" t="s">
        <v>27</v>
      </c>
      <c r="B38">
        <v>2925</v>
      </c>
      <c r="C38">
        <v>6218</v>
      </c>
      <c r="D38" t="s">
        <v>82</v>
      </c>
      <c r="E38">
        <v>2</v>
      </c>
      <c r="F38" t="s">
        <v>33</v>
      </c>
      <c r="G38" s="2">
        <v>46207</v>
      </c>
      <c r="H38" s="3">
        <v>20693.11</v>
      </c>
      <c r="I38" s="3">
        <v>8580</v>
      </c>
      <c r="J38" t="s">
        <v>30</v>
      </c>
      <c r="K38" s="3">
        <v>2.12</v>
      </c>
      <c r="L38" t="s">
        <v>73</v>
      </c>
      <c r="M38">
        <v>13</v>
      </c>
      <c r="N38" s="3">
        <v>2.41</v>
      </c>
      <c r="O38">
        <v>1207</v>
      </c>
      <c r="P38" s="3">
        <v>-0.28999999999999998</v>
      </c>
      <c r="Q38" s="3">
        <v>20693.11</v>
      </c>
      <c r="R38" s="3">
        <v>0</v>
      </c>
      <c r="S38">
        <v>1103</v>
      </c>
      <c r="T38" s="3">
        <v>18189.599999999999</v>
      </c>
      <c r="W38" s="3">
        <v>2.12</v>
      </c>
    </row>
    <row r="39" spans="1:23" x14ac:dyDescent="0.3">
      <c r="A39" t="s">
        <v>27</v>
      </c>
      <c r="B39">
        <v>2960</v>
      </c>
      <c r="C39">
        <v>6012</v>
      </c>
      <c r="D39" t="s">
        <v>83</v>
      </c>
      <c r="E39">
        <v>2</v>
      </c>
      <c r="F39" t="s">
        <v>33</v>
      </c>
      <c r="G39" s="2">
        <v>46213</v>
      </c>
      <c r="H39" s="3">
        <v>7354.2</v>
      </c>
      <c r="I39" s="3">
        <v>3570</v>
      </c>
      <c r="J39" t="s">
        <v>30</v>
      </c>
      <c r="K39" s="3">
        <v>2.06</v>
      </c>
      <c r="L39" t="s">
        <v>73</v>
      </c>
      <c r="M39">
        <v>13</v>
      </c>
      <c r="N39" s="3">
        <v>2.06</v>
      </c>
      <c r="O39">
        <v>1207</v>
      </c>
      <c r="P39" s="3">
        <v>0</v>
      </c>
      <c r="Q39" s="3">
        <v>7354.2</v>
      </c>
      <c r="R39" s="3">
        <v>0</v>
      </c>
      <c r="S39">
        <v>1103</v>
      </c>
      <c r="T39" s="3">
        <v>7354.2</v>
      </c>
      <c r="W39" s="3">
        <v>2.2000000000000002</v>
      </c>
    </row>
    <row r="40" spans="1:23" x14ac:dyDescent="0.3">
      <c r="A40" t="s">
        <v>27</v>
      </c>
      <c r="B40">
        <v>2920</v>
      </c>
      <c r="C40">
        <v>3040</v>
      </c>
      <c r="D40" t="s">
        <v>84</v>
      </c>
      <c r="E40">
        <v>2</v>
      </c>
      <c r="F40" t="s">
        <v>33</v>
      </c>
      <c r="G40" s="2">
        <v>46206</v>
      </c>
      <c r="H40" s="3">
        <v>18816.66</v>
      </c>
      <c r="I40" s="3">
        <v>8240</v>
      </c>
      <c r="J40" t="s">
        <v>30</v>
      </c>
      <c r="K40" s="3">
        <v>2.0499999999999998</v>
      </c>
      <c r="L40" t="s">
        <v>73</v>
      </c>
      <c r="M40">
        <v>13</v>
      </c>
      <c r="N40" s="3">
        <v>2.2799999999999998</v>
      </c>
      <c r="O40">
        <v>1207</v>
      </c>
      <c r="P40" s="3">
        <v>-0.23</v>
      </c>
      <c r="Q40" s="3">
        <v>18816.66</v>
      </c>
      <c r="R40" s="3">
        <v>0</v>
      </c>
      <c r="S40">
        <v>1103</v>
      </c>
      <c r="T40" s="3">
        <v>16892</v>
      </c>
      <c r="W40" s="3">
        <v>2.0499999999999998</v>
      </c>
    </row>
    <row r="41" spans="1:23" x14ac:dyDescent="0.3">
      <c r="A41" t="s">
        <v>27</v>
      </c>
      <c r="B41">
        <v>2948</v>
      </c>
      <c r="C41">
        <v>5307</v>
      </c>
      <c r="D41" t="s">
        <v>85</v>
      </c>
      <c r="E41">
        <v>13</v>
      </c>
      <c r="F41" t="s">
        <v>44</v>
      </c>
      <c r="G41" s="2">
        <v>46211</v>
      </c>
      <c r="H41" s="3">
        <v>12502.6</v>
      </c>
      <c r="I41" s="3">
        <v>12630</v>
      </c>
      <c r="J41" t="s">
        <v>30</v>
      </c>
      <c r="K41" s="3">
        <v>0.85</v>
      </c>
      <c r="L41" t="s">
        <v>73</v>
      </c>
      <c r="M41">
        <v>13</v>
      </c>
      <c r="N41" s="3">
        <v>0.99</v>
      </c>
      <c r="O41">
        <v>1601</v>
      </c>
      <c r="P41" s="3">
        <v>-0.14000000000000001</v>
      </c>
      <c r="Q41" s="3">
        <v>12502.6</v>
      </c>
      <c r="R41" s="3">
        <v>0</v>
      </c>
      <c r="S41">
        <v>1103</v>
      </c>
      <c r="T41" s="3">
        <v>10735.5</v>
      </c>
      <c r="W41" s="3">
        <v>0.8</v>
      </c>
    </row>
    <row r="42" spans="1:23" x14ac:dyDescent="0.3">
      <c r="A42" t="s">
        <v>27</v>
      </c>
      <c r="B42">
        <v>2948</v>
      </c>
      <c r="C42">
        <v>5307</v>
      </c>
      <c r="D42" t="s">
        <v>85</v>
      </c>
      <c r="E42">
        <v>86</v>
      </c>
      <c r="F42" t="s">
        <v>86</v>
      </c>
      <c r="G42" s="2">
        <v>46211</v>
      </c>
      <c r="H42" s="3">
        <v>3770.4</v>
      </c>
      <c r="I42" s="3">
        <v>1850</v>
      </c>
      <c r="J42" t="s">
        <v>30</v>
      </c>
      <c r="K42" s="3">
        <v>1.75</v>
      </c>
      <c r="L42" t="s">
        <v>73</v>
      </c>
      <c r="M42">
        <v>13</v>
      </c>
      <c r="N42" s="3">
        <v>2.04</v>
      </c>
      <c r="O42">
        <v>1213</v>
      </c>
      <c r="P42" s="3">
        <v>-0.28999999999999998</v>
      </c>
      <c r="Q42" s="3">
        <v>3770.4</v>
      </c>
      <c r="R42" s="3">
        <v>0</v>
      </c>
      <c r="S42">
        <v>1103</v>
      </c>
      <c r="T42" s="3">
        <v>3237.5</v>
      </c>
      <c r="W42" s="3">
        <v>0</v>
      </c>
    </row>
    <row r="43" spans="1:23" x14ac:dyDescent="0.3">
      <c r="A43" t="s">
        <v>27</v>
      </c>
      <c r="B43">
        <v>2954</v>
      </c>
      <c r="C43">
        <v>2479</v>
      </c>
      <c r="D43" t="s">
        <v>87</v>
      </c>
      <c r="E43">
        <v>2</v>
      </c>
      <c r="F43" t="s">
        <v>33</v>
      </c>
      <c r="G43" s="2">
        <v>46212</v>
      </c>
      <c r="H43" s="3">
        <v>9954.59</v>
      </c>
      <c r="I43" s="3">
        <v>4150</v>
      </c>
      <c r="J43" t="s">
        <v>30</v>
      </c>
      <c r="K43" s="3">
        <v>2.12</v>
      </c>
      <c r="L43" t="s">
        <v>73</v>
      </c>
      <c r="M43">
        <v>13</v>
      </c>
      <c r="N43" s="3">
        <v>2.4</v>
      </c>
      <c r="O43">
        <v>1207</v>
      </c>
      <c r="P43" s="3">
        <v>-0.28000000000000003</v>
      </c>
      <c r="Q43" s="3">
        <v>9954.59</v>
      </c>
      <c r="R43" s="3">
        <v>0</v>
      </c>
      <c r="S43">
        <v>1103</v>
      </c>
      <c r="T43" s="3">
        <v>8798</v>
      </c>
      <c r="W43" s="3">
        <v>2.12</v>
      </c>
    </row>
    <row r="44" spans="1:23" x14ac:dyDescent="0.3">
      <c r="A44" t="s">
        <v>27</v>
      </c>
      <c r="B44">
        <v>632</v>
      </c>
      <c r="C44">
        <v>6809</v>
      </c>
      <c r="D44" t="s">
        <v>88</v>
      </c>
      <c r="E44">
        <v>1</v>
      </c>
      <c r="F44" t="s">
        <v>36</v>
      </c>
      <c r="G44" s="2">
        <v>46213</v>
      </c>
      <c r="H44" s="3">
        <v>19766.400000000001</v>
      </c>
      <c r="I44" s="3">
        <v>8520</v>
      </c>
      <c r="J44" t="s">
        <v>30</v>
      </c>
      <c r="K44" s="3">
        <v>2.3199999999999998</v>
      </c>
      <c r="L44" t="s">
        <v>73</v>
      </c>
      <c r="M44">
        <v>13</v>
      </c>
      <c r="N44" s="3">
        <v>2.3199999999999998</v>
      </c>
      <c r="O44">
        <v>1107</v>
      </c>
      <c r="P44" s="3">
        <v>0</v>
      </c>
      <c r="Q44" s="3">
        <v>19766.400000000001</v>
      </c>
      <c r="R44" s="3">
        <v>0</v>
      </c>
      <c r="S44">
        <v>1103</v>
      </c>
      <c r="T44" s="3">
        <v>19766.400000000001</v>
      </c>
      <c r="W44" s="3">
        <v>0</v>
      </c>
    </row>
    <row r="45" spans="1:23" x14ac:dyDescent="0.3">
      <c r="A45" t="s">
        <v>27</v>
      </c>
      <c r="B45">
        <v>2955</v>
      </c>
      <c r="C45">
        <v>7042</v>
      </c>
      <c r="D45" t="s">
        <v>89</v>
      </c>
      <c r="E45">
        <v>12</v>
      </c>
      <c r="F45" t="s">
        <v>46</v>
      </c>
      <c r="G45" s="2">
        <v>46213</v>
      </c>
      <c r="H45" s="3">
        <v>14531.04</v>
      </c>
      <c r="I45" s="3">
        <v>13740</v>
      </c>
      <c r="J45" t="s">
        <v>30</v>
      </c>
      <c r="K45" s="3">
        <v>1.1599999999999999</v>
      </c>
      <c r="L45" t="s">
        <v>73</v>
      </c>
      <c r="M45">
        <v>13</v>
      </c>
      <c r="N45" s="3">
        <v>1.06</v>
      </c>
      <c r="O45">
        <v>1601</v>
      </c>
      <c r="P45" s="3">
        <v>0.1</v>
      </c>
      <c r="Q45" s="3">
        <v>14531.04</v>
      </c>
      <c r="R45" s="3">
        <v>0</v>
      </c>
      <c r="S45">
        <v>1100</v>
      </c>
      <c r="T45" s="3">
        <v>15938.4</v>
      </c>
      <c r="W45" s="3">
        <v>0</v>
      </c>
    </row>
    <row r="46" spans="1:23" x14ac:dyDescent="0.3">
      <c r="A46" t="s">
        <v>27</v>
      </c>
      <c r="B46">
        <v>2957</v>
      </c>
      <c r="C46">
        <v>6949</v>
      </c>
      <c r="D46" t="s">
        <v>90</v>
      </c>
      <c r="E46">
        <v>86</v>
      </c>
      <c r="F46" t="s">
        <v>86</v>
      </c>
      <c r="G46" s="2">
        <v>46213</v>
      </c>
      <c r="H46" s="3">
        <v>15308.84</v>
      </c>
      <c r="I46" s="3">
        <v>8500</v>
      </c>
      <c r="J46" t="s">
        <v>30</v>
      </c>
      <c r="K46" s="3">
        <v>1.88</v>
      </c>
      <c r="L46" t="s">
        <v>73</v>
      </c>
      <c r="M46">
        <v>13</v>
      </c>
      <c r="N46" s="3">
        <v>1.8</v>
      </c>
      <c r="O46">
        <v>1213</v>
      </c>
      <c r="P46" s="3">
        <v>0.08</v>
      </c>
      <c r="Q46" s="3">
        <v>15308.84</v>
      </c>
      <c r="R46" s="3">
        <v>0</v>
      </c>
      <c r="S46">
        <v>1705</v>
      </c>
      <c r="T46" s="3">
        <v>15980</v>
      </c>
      <c r="W46" s="3">
        <v>1.88</v>
      </c>
    </row>
    <row r="47" spans="1:23" x14ac:dyDescent="0.3">
      <c r="A47" t="s">
        <v>27</v>
      </c>
      <c r="B47">
        <v>2927</v>
      </c>
      <c r="C47">
        <v>2126</v>
      </c>
      <c r="D47" t="s">
        <v>91</v>
      </c>
      <c r="E47">
        <v>2</v>
      </c>
      <c r="F47" t="s">
        <v>33</v>
      </c>
      <c r="G47" s="2">
        <v>46207</v>
      </c>
      <c r="H47" s="3">
        <v>4024.1</v>
      </c>
      <c r="I47" s="3">
        <v>1590</v>
      </c>
      <c r="J47" t="s">
        <v>30</v>
      </c>
      <c r="K47" s="3">
        <v>2.12</v>
      </c>
      <c r="L47" t="s">
        <v>73</v>
      </c>
      <c r="M47">
        <v>13</v>
      </c>
      <c r="N47" s="3">
        <v>2.5299999999999998</v>
      </c>
      <c r="O47">
        <v>1207</v>
      </c>
      <c r="P47" s="3">
        <v>-0.41</v>
      </c>
      <c r="Q47" s="3">
        <v>4024.1</v>
      </c>
      <c r="R47" s="3">
        <v>0</v>
      </c>
      <c r="S47">
        <v>1103</v>
      </c>
      <c r="T47" s="3">
        <v>3370.8</v>
      </c>
      <c r="W47" s="3">
        <v>2.25</v>
      </c>
    </row>
    <row r="48" spans="1:23" x14ac:dyDescent="0.3">
      <c r="A48" t="s">
        <v>27</v>
      </c>
      <c r="B48">
        <v>2927</v>
      </c>
      <c r="C48">
        <v>2126</v>
      </c>
      <c r="D48" t="s">
        <v>91</v>
      </c>
      <c r="E48">
        <v>85</v>
      </c>
      <c r="F48" t="s">
        <v>77</v>
      </c>
      <c r="G48" s="2">
        <v>46207</v>
      </c>
      <c r="H48" s="3">
        <v>30066.83</v>
      </c>
      <c r="I48" s="3">
        <v>11880</v>
      </c>
      <c r="J48" t="s">
        <v>30</v>
      </c>
      <c r="K48" s="3">
        <v>2.12</v>
      </c>
      <c r="L48" t="s">
        <v>73</v>
      </c>
      <c r="M48">
        <v>13</v>
      </c>
      <c r="N48" s="3">
        <v>2.5299999999999998</v>
      </c>
      <c r="O48">
        <v>1117</v>
      </c>
      <c r="P48" s="3">
        <v>-0.41</v>
      </c>
      <c r="Q48" s="3">
        <v>30066.83</v>
      </c>
      <c r="R48" s="3">
        <v>0</v>
      </c>
      <c r="S48">
        <v>1103</v>
      </c>
      <c r="T48" s="3">
        <v>25185.599999999999</v>
      </c>
      <c r="W48" s="3">
        <v>2.12</v>
      </c>
    </row>
    <row r="49" spans="1:23" x14ac:dyDescent="0.3">
      <c r="A49" t="s">
        <v>27</v>
      </c>
      <c r="B49">
        <v>2922</v>
      </c>
      <c r="C49">
        <v>7023</v>
      </c>
      <c r="D49" t="s">
        <v>92</v>
      </c>
      <c r="E49">
        <v>12</v>
      </c>
      <c r="F49" t="s">
        <v>46</v>
      </c>
      <c r="G49" s="2">
        <v>46206</v>
      </c>
      <c r="H49" s="3">
        <v>15299</v>
      </c>
      <c r="I49" s="3">
        <v>12380</v>
      </c>
      <c r="J49" t="s">
        <v>30</v>
      </c>
      <c r="K49" s="3">
        <v>1.05</v>
      </c>
      <c r="L49" t="s">
        <v>73</v>
      </c>
      <c r="M49">
        <v>13</v>
      </c>
      <c r="N49" s="3">
        <v>1.24</v>
      </c>
      <c r="O49">
        <v>1601</v>
      </c>
      <c r="P49" s="3">
        <v>-0.19</v>
      </c>
      <c r="Q49" s="3">
        <v>15299</v>
      </c>
      <c r="R49" s="3">
        <v>0</v>
      </c>
      <c r="S49">
        <v>1103</v>
      </c>
      <c r="T49" s="3">
        <v>12999</v>
      </c>
      <c r="W49" s="3">
        <v>0</v>
      </c>
    </row>
    <row r="50" spans="1:23" x14ac:dyDescent="0.3">
      <c r="A50" t="s">
        <v>27</v>
      </c>
      <c r="B50">
        <v>626</v>
      </c>
      <c r="C50">
        <v>5735</v>
      </c>
      <c r="D50" t="s">
        <v>93</v>
      </c>
      <c r="E50">
        <v>1</v>
      </c>
      <c r="F50" t="s">
        <v>36</v>
      </c>
      <c r="G50" s="2">
        <v>46211</v>
      </c>
      <c r="H50" s="3">
        <v>1460.6</v>
      </c>
      <c r="I50" s="3">
        <v>640</v>
      </c>
      <c r="J50" t="s">
        <v>30</v>
      </c>
      <c r="K50" s="3">
        <v>2.3199999999999998</v>
      </c>
      <c r="L50" t="s">
        <v>73</v>
      </c>
      <c r="M50">
        <v>13</v>
      </c>
      <c r="N50" s="3">
        <v>2.2799999999999998</v>
      </c>
      <c r="O50">
        <v>1107</v>
      </c>
      <c r="P50" s="3">
        <v>0.04</v>
      </c>
      <c r="Q50" s="3">
        <v>1460.6</v>
      </c>
      <c r="R50" s="3">
        <v>0</v>
      </c>
      <c r="S50">
        <v>1103</v>
      </c>
      <c r="T50" s="3">
        <v>1484.8</v>
      </c>
      <c r="W50" s="3">
        <v>0</v>
      </c>
    </row>
    <row r="51" spans="1:23" x14ac:dyDescent="0.3">
      <c r="A51" t="s">
        <v>27</v>
      </c>
      <c r="B51">
        <v>2953</v>
      </c>
      <c r="C51">
        <v>5525</v>
      </c>
      <c r="D51" t="s">
        <v>94</v>
      </c>
      <c r="E51">
        <v>2</v>
      </c>
      <c r="F51" t="s">
        <v>33</v>
      </c>
      <c r="G51" s="2">
        <v>46212</v>
      </c>
      <c r="H51" s="3">
        <v>10310</v>
      </c>
      <c r="I51" s="3">
        <v>4250</v>
      </c>
      <c r="J51" t="s">
        <v>30</v>
      </c>
      <c r="K51" s="3">
        <v>2.12</v>
      </c>
      <c r="L51" t="s">
        <v>73</v>
      </c>
      <c r="M51">
        <v>13</v>
      </c>
      <c r="N51" s="3">
        <v>2.4300000000000002</v>
      </c>
      <c r="O51">
        <v>1207</v>
      </c>
      <c r="P51" s="3">
        <v>-0.31</v>
      </c>
      <c r="Q51" s="3">
        <v>10310</v>
      </c>
      <c r="R51" s="3">
        <v>0</v>
      </c>
      <c r="S51">
        <v>1103</v>
      </c>
      <c r="T51" s="3">
        <v>9010</v>
      </c>
      <c r="W51" s="3">
        <v>2.12</v>
      </c>
    </row>
    <row r="52" spans="1:23" x14ac:dyDescent="0.3">
      <c r="A52" t="s">
        <v>27</v>
      </c>
      <c r="B52">
        <v>2931</v>
      </c>
      <c r="C52">
        <v>1194</v>
      </c>
      <c r="D52" t="s">
        <v>95</v>
      </c>
      <c r="E52">
        <v>2</v>
      </c>
      <c r="F52" t="s">
        <v>33</v>
      </c>
      <c r="G52" s="2">
        <v>46209</v>
      </c>
      <c r="H52" s="3">
        <v>35841.699999999997</v>
      </c>
      <c r="I52" s="3">
        <v>13960</v>
      </c>
      <c r="J52" t="s">
        <v>30</v>
      </c>
      <c r="K52" s="3">
        <v>2.61</v>
      </c>
      <c r="L52" t="s">
        <v>73</v>
      </c>
      <c r="M52">
        <v>13</v>
      </c>
      <c r="N52" s="3">
        <v>2.57</v>
      </c>
      <c r="O52">
        <v>1207</v>
      </c>
      <c r="P52" s="3">
        <v>0.04</v>
      </c>
      <c r="Q52" s="3">
        <v>35841.699999999997</v>
      </c>
      <c r="R52" s="3">
        <v>0</v>
      </c>
      <c r="S52">
        <v>1103</v>
      </c>
      <c r="T52" s="3">
        <v>36435.599999999999</v>
      </c>
      <c r="W52" s="3">
        <v>2.65</v>
      </c>
    </row>
    <row r="53" spans="1:23" x14ac:dyDescent="0.3">
      <c r="A53" t="s">
        <v>27</v>
      </c>
      <c r="B53">
        <v>2933</v>
      </c>
      <c r="C53">
        <v>6036</v>
      </c>
      <c r="D53" t="s">
        <v>96</v>
      </c>
      <c r="E53">
        <v>86</v>
      </c>
      <c r="F53" t="s">
        <v>86</v>
      </c>
      <c r="G53" s="2">
        <v>46210</v>
      </c>
      <c r="H53" s="3">
        <v>15349.34</v>
      </c>
      <c r="I53" s="3">
        <v>8670</v>
      </c>
      <c r="J53" t="s">
        <v>30</v>
      </c>
      <c r="K53" s="3">
        <v>1.88</v>
      </c>
      <c r="L53" t="s">
        <v>73</v>
      </c>
      <c r="M53">
        <v>13</v>
      </c>
      <c r="N53" s="3">
        <v>1.77</v>
      </c>
      <c r="O53">
        <v>1213</v>
      </c>
      <c r="P53" s="3">
        <v>0.11</v>
      </c>
      <c r="Q53" s="3">
        <v>15349.34</v>
      </c>
      <c r="R53" s="3">
        <v>0</v>
      </c>
      <c r="S53">
        <v>1705</v>
      </c>
      <c r="T53" s="3">
        <v>16299.6</v>
      </c>
      <c r="W53" s="3">
        <v>0</v>
      </c>
    </row>
    <row r="54" spans="1:23" x14ac:dyDescent="0.3">
      <c r="A54" t="s">
        <v>27</v>
      </c>
      <c r="B54">
        <v>631</v>
      </c>
      <c r="C54">
        <v>1219</v>
      </c>
      <c r="D54" t="s">
        <v>97</v>
      </c>
      <c r="E54">
        <v>1</v>
      </c>
      <c r="F54" t="s">
        <v>36</v>
      </c>
      <c r="G54" s="2">
        <v>46212</v>
      </c>
      <c r="H54" s="3">
        <v>7896</v>
      </c>
      <c r="I54" s="3">
        <v>3290</v>
      </c>
      <c r="J54" t="s">
        <v>30</v>
      </c>
      <c r="K54" s="3">
        <v>2.4</v>
      </c>
      <c r="L54" t="s">
        <v>73</v>
      </c>
      <c r="M54">
        <v>13</v>
      </c>
      <c r="N54" s="3">
        <v>2.4</v>
      </c>
      <c r="O54">
        <v>1214</v>
      </c>
      <c r="P54" s="3">
        <v>0</v>
      </c>
      <c r="Q54" s="3">
        <v>7896</v>
      </c>
      <c r="R54" s="3">
        <v>0</v>
      </c>
      <c r="S54">
        <v>1103</v>
      </c>
      <c r="T54" s="3">
        <v>7896</v>
      </c>
      <c r="W54" s="3">
        <v>0</v>
      </c>
    </row>
    <row r="55" spans="1:23" x14ac:dyDescent="0.3">
      <c r="A55" t="s">
        <v>27</v>
      </c>
      <c r="B55">
        <v>633</v>
      </c>
      <c r="C55">
        <v>1993</v>
      </c>
      <c r="D55" t="s">
        <v>98</v>
      </c>
      <c r="E55">
        <v>12</v>
      </c>
      <c r="F55" t="s">
        <v>46</v>
      </c>
      <c r="G55" s="2">
        <v>46213</v>
      </c>
      <c r="H55" s="3">
        <v>12329.52</v>
      </c>
      <c r="I55" s="3">
        <v>8920</v>
      </c>
      <c r="J55" t="s">
        <v>30</v>
      </c>
      <c r="K55" s="3">
        <v>1.2</v>
      </c>
      <c r="L55" t="s">
        <v>73</v>
      </c>
      <c r="M55">
        <v>13</v>
      </c>
      <c r="N55" s="3">
        <v>1.38</v>
      </c>
      <c r="O55">
        <v>1601</v>
      </c>
      <c r="P55" s="3">
        <v>-0.18</v>
      </c>
      <c r="Q55" s="3">
        <v>12329.52</v>
      </c>
      <c r="R55" s="3">
        <v>0</v>
      </c>
      <c r="S55">
        <v>1103</v>
      </c>
      <c r="T55" s="3">
        <v>10704</v>
      </c>
      <c r="W55" s="3">
        <v>1.2</v>
      </c>
    </row>
    <row r="56" spans="1:23" x14ac:dyDescent="0.3">
      <c r="A56" t="s">
        <v>27</v>
      </c>
      <c r="B56">
        <v>2962</v>
      </c>
      <c r="C56">
        <v>6237</v>
      </c>
      <c r="D56" t="s">
        <v>99</v>
      </c>
      <c r="E56">
        <v>8</v>
      </c>
      <c r="F56" t="s">
        <v>79</v>
      </c>
      <c r="G56" s="2">
        <v>46214</v>
      </c>
      <c r="H56" s="3">
        <v>8320.81</v>
      </c>
      <c r="I56" s="3">
        <v>4620</v>
      </c>
      <c r="J56" t="s">
        <v>30</v>
      </c>
      <c r="K56" s="3">
        <v>1.88</v>
      </c>
      <c r="L56" t="s">
        <v>73</v>
      </c>
      <c r="M56">
        <v>13</v>
      </c>
      <c r="N56" s="3">
        <v>1.8</v>
      </c>
      <c r="O56">
        <v>1601</v>
      </c>
      <c r="P56" s="3">
        <v>0.08</v>
      </c>
      <c r="Q56" s="3">
        <v>8320.81</v>
      </c>
      <c r="R56" s="3">
        <v>0</v>
      </c>
      <c r="S56">
        <v>1705</v>
      </c>
      <c r="T56" s="3">
        <v>8685.6</v>
      </c>
      <c r="W56" s="3">
        <v>1.88</v>
      </c>
    </row>
    <row r="57" spans="1:23" x14ac:dyDescent="0.3">
      <c r="A57" t="s">
        <v>27</v>
      </c>
      <c r="B57">
        <v>2943</v>
      </c>
      <c r="C57">
        <v>5062</v>
      </c>
      <c r="D57" t="s">
        <v>100</v>
      </c>
      <c r="E57">
        <v>2</v>
      </c>
      <c r="F57" t="s">
        <v>33</v>
      </c>
      <c r="G57" s="2">
        <v>46211</v>
      </c>
      <c r="H57" s="3">
        <v>13999.85</v>
      </c>
      <c r="I57" s="3">
        <v>5850</v>
      </c>
      <c r="J57" t="s">
        <v>30</v>
      </c>
      <c r="K57" s="3">
        <v>2.12</v>
      </c>
      <c r="L57" t="s">
        <v>73</v>
      </c>
      <c r="M57">
        <v>13</v>
      </c>
      <c r="N57" s="3">
        <v>2.39</v>
      </c>
      <c r="O57">
        <v>1207</v>
      </c>
      <c r="P57" s="3">
        <v>-0.27</v>
      </c>
      <c r="Q57" s="3">
        <v>13999.85</v>
      </c>
      <c r="R57" s="3">
        <v>0</v>
      </c>
      <c r="S57">
        <v>1103</v>
      </c>
      <c r="T57" s="3">
        <v>12402</v>
      </c>
      <c r="W57" s="3">
        <v>2.12</v>
      </c>
    </row>
    <row r="58" spans="1:23" x14ac:dyDescent="0.3">
      <c r="A58" t="s">
        <v>27</v>
      </c>
      <c r="B58">
        <v>2949</v>
      </c>
      <c r="C58">
        <v>111</v>
      </c>
      <c r="D58" t="s">
        <v>101</v>
      </c>
      <c r="E58">
        <v>85</v>
      </c>
      <c r="F58" t="s">
        <v>77</v>
      </c>
      <c r="G58" s="2">
        <v>46211</v>
      </c>
      <c r="H58" s="3">
        <v>20595.599999999999</v>
      </c>
      <c r="I58" s="3">
        <v>8630</v>
      </c>
      <c r="J58" t="s">
        <v>30</v>
      </c>
      <c r="K58" s="3">
        <v>2.12</v>
      </c>
      <c r="L58" t="s">
        <v>73</v>
      </c>
      <c r="M58">
        <v>13</v>
      </c>
      <c r="N58" s="3">
        <v>2.39</v>
      </c>
      <c r="O58">
        <v>1117</v>
      </c>
      <c r="P58" s="3">
        <v>-0.27</v>
      </c>
      <c r="Q58" s="3">
        <v>20595.599999999999</v>
      </c>
      <c r="R58" s="3">
        <v>0</v>
      </c>
      <c r="S58">
        <v>1103</v>
      </c>
      <c r="T58" s="3">
        <v>18295.599999999999</v>
      </c>
      <c r="W58" s="3">
        <v>2.12</v>
      </c>
    </row>
    <row r="59" spans="1:23" x14ac:dyDescent="0.3">
      <c r="A59" t="s">
        <v>27</v>
      </c>
      <c r="B59">
        <v>634</v>
      </c>
      <c r="C59">
        <v>5043</v>
      </c>
      <c r="D59" t="s">
        <v>102</v>
      </c>
      <c r="E59">
        <v>12</v>
      </c>
      <c r="F59" t="s">
        <v>46</v>
      </c>
      <c r="G59" s="2">
        <v>46213</v>
      </c>
      <c r="H59" s="3">
        <v>3966</v>
      </c>
      <c r="I59" s="3">
        <v>2840</v>
      </c>
      <c r="J59" t="s">
        <v>30</v>
      </c>
      <c r="K59" s="3">
        <v>1.1499999999999999</v>
      </c>
      <c r="L59" t="s">
        <v>73</v>
      </c>
      <c r="M59">
        <v>13</v>
      </c>
      <c r="N59" s="3">
        <v>1.4</v>
      </c>
      <c r="O59">
        <v>1601</v>
      </c>
      <c r="P59" s="3">
        <v>-0.25</v>
      </c>
      <c r="Q59" s="3">
        <v>3966</v>
      </c>
      <c r="R59" s="3">
        <v>0</v>
      </c>
      <c r="S59">
        <v>1103</v>
      </c>
      <c r="T59" s="3">
        <v>3266</v>
      </c>
      <c r="W59" s="3">
        <v>1.1499999999999999</v>
      </c>
    </row>
    <row r="60" spans="1:23" x14ac:dyDescent="0.3">
      <c r="A60" t="s">
        <v>27</v>
      </c>
      <c r="B60">
        <v>2959</v>
      </c>
      <c r="C60">
        <v>1194</v>
      </c>
      <c r="D60" t="s">
        <v>95</v>
      </c>
      <c r="E60">
        <v>2</v>
      </c>
      <c r="F60" t="s">
        <v>33</v>
      </c>
      <c r="G60" s="2">
        <v>46213</v>
      </c>
      <c r="H60" s="3">
        <v>32167.97</v>
      </c>
      <c r="I60" s="3">
        <v>12340</v>
      </c>
      <c r="J60" t="s">
        <v>30</v>
      </c>
      <c r="K60" s="3">
        <v>2.65</v>
      </c>
      <c r="L60" t="s">
        <v>73</v>
      </c>
      <c r="M60">
        <v>13</v>
      </c>
      <c r="N60" s="3">
        <v>2.61</v>
      </c>
      <c r="O60">
        <v>1207</v>
      </c>
      <c r="P60" s="3">
        <v>0.04</v>
      </c>
      <c r="Q60" s="3">
        <v>32167.97</v>
      </c>
      <c r="R60" s="3">
        <v>0</v>
      </c>
      <c r="S60">
        <v>1103</v>
      </c>
      <c r="T60" s="3">
        <v>32701</v>
      </c>
      <c r="W60" s="3">
        <v>2.61</v>
      </c>
    </row>
    <row r="61" spans="1:23" x14ac:dyDescent="0.3">
      <c r="A61" t="s">
        <v>27</v>
      </c>
      <c r="B61">
        <v>2947</v>
      </c>
      <c r="C61">
        <v>4324</v>
      </c>
      <c r="D61" t="s">
        <v>103</v>
      </c>
      <c r="E61">
        <v>2</v>
      </c>
      <c r="F61" t="s">
        <v>33</v>
      </c>
      <c r="G61" s="2">
        <v>46211</v>
      </c>
      <c r="H61" s="3">
        <v>5283.7</v>
      </c>
      <c r="I61" s="3">
        <v>2150</v>
      </c>
      <c r="J61" t="s">
        <v>30</v>
      </c>
      <c r="K61" s="3">
        <v>2.12</v>
      </c>
      <c r="L61" t="s">
        <v>73</v>
      </c>
      <c r="M61">
        <v>13</v>
      </c>
      <c r="N61" s="3">
        <v>2.46</v>
      </c>
      <c r="O61">
        <v>1207</v>
      </c>
      <c r="P61" s="3">
        <v>-0.34</v>
      </c>
      <c r="Q61" s="3">
        <v>5283.7</v>
      </c>
      <c r="R61" s="3">
        <v>0</v>
      </c>
      <c r="S61">
        <v>1103</v>
      </c>
      <c r="T61" s="3">
        <v>4558</v>
      </c>
      <c r="W61" s="3">
        <v>2.12</v>
      </c>
    </row>
    <row r="62" spans="1:23" x14ac:dyDescent="0.3">
      <c r="A62" t="s">
        <v>27</v>
      </c>
      <c r="B62">
        <v>2972</v>
      </c>
      <c r="C62">
        <v>6561</v>
      </c>
      <c r="D62" t="s">
        <v>104</v>
      </c>
      <c r="E62">
        <v>2</v>
      </c>
      <c r="F62" t="s">
        <v>33</v>
      </c>
      <c r="G62" s="2">
        <v>46214</v>
      </c>
      <c r="H62" s="3">
        <v>20691.2</v>
      </c>
      <c r="I62" s="3">
        <v>7808</v>
      </c>
      <c r="J62" t="s">
        <v>30</v>
      </c>
      <c r="K62" s="3">
        <v>2.65</v>
      </c>
      <c r="L62" t="s">
        <v>73</v>
      </c>
      <c r="M62">
        <v>13</v>
      </c>
      <c r="N62" s="3">
        <v>2.65</v>
      </c>
      <c r="O62">
        <v>1207</v>
      </c>
      <c r="P62" s="3">
        <v>0</v>
      </c>
      <c r="Q62" s="3">
        <v>20691.2</v>
      </c>
      <c r="R62" s="3">
        <v>0</v>
      </c>
      <c r="S62">
        <v>1103</v>
      </c>
      <c r="T62" s="3">
        <v>20691.2</v>
      </c>
      <c r="W62" s="3">
        <v>2.12</v>
      </c>
    </row>
    <row r="63" spans="1:23" x14ac:dyDescent="0.3">
      <c r="A63" t="s">
        <v>27</v>
      </c>
      <c r="B63">
        <v>2937</v>
      </c>
      <c r="C63">
        <v>6071</v>
      </c>
      <c r="D63" t="s">
        <v>105</v>
      </c>
      <c r="E63">
        <v>7</v>
      </c>
      <c r="F63" t="s">
        <v>43</v>
      </c>
      <c r="G63" s="2">
        <v>46210</v>
      </c>
      <c r="H63" s="3">
        <v>20182.38</v>
      </c>
      <c r="I63" s="3">
        <v>9240</v>
      </c>
      <c r="J63" t="s">
        <v>30</v>
      </c>
      <c r="K63" s="3">
        <v>2.2799999999999998</v>
      </c>
      <c r="L63" t="s">
        <v>73</v>
      </c>
      <c r="M63">
        <v>13</v>
      </c>
      <c r="N63" s="3">
        <v>2.1800000000000002</v>
      </c>
      <c r="O63">
        <v>1601</v>
      </c>
      <c r="P63" s="3">
        <v>0.1</v>
      </c>
      <c r="Q63" s="3">
        <v>20182.38</v>
      </c>
      <c r="R63" s="3">
        <v>0</v>
      </c>
      <c r="S63">
        <v>1705</v>
      </c>
      <c r="T63" s="3">
        <v>21067.200000000001</v>
      </c>
      <c r="W63" s="3">
        <v>2.2799999999999998</v>
      </c>
    </row>
    <row r="64" spans="1:23" x14ac:dyDescent="0.3">
      <c r="A64" t="s">
        <v>27</v>
      </c>
      <c r="B64">
        <v>2964</v>
      </c>
      <c r="C64">
        <v>7053</v>
      </c>
      <c r="D64" t="s">
        <v>106</v>
      </c>
      <c r="E64">
        <v>86</v>
      </c>
      <c r="F64" t="s">
        <v>86</v>
      </c>
      <c r="G64" s="2">
        <v>46214</v>
      </c>
      <c r="H64" s="3">
        <v>15362.87</v>
      </c>
      <c r="I64" s="3">
        <v>8530</v>
      </c>
      <c r="J64" t="s">
        <v>30</v>
      </c>
      <c r="K64" s="3">
        <v>1.88</v>
      </c>
      <c r="L64" t="s">
        <v>73</v>
      </c>
      <c r="M64">
        <v>13</v>
      </c>
      <c r="N64" s="3">
        <v>1.8</v>
      </c>
      <c r="O64">
        <v>1213</v>
      </c>
      <c r="P64" s="3">
        <v>0.08</v>
      </c>
      <c r="Q64" s="3">
        <v>15362.87</v>
      </c>
      <c r="R64" s="3">
        <v>0</v>
      </c>
      <c r="S64">
        <v>1705</v>
      </c>
      <c r="T64" s="3">
        <v>16036.4</v>
      </c>
      <c r="W64" s="3">
        <v>0</v>
      </c>
    </row>
    <row r="65" spans="1:23" x14ac:dyDescent="0.3">
      <c r="A65" t="s">
        <v>27</v>
      </c>
      <c r="B65">
        <v>2973</v>
      </c>
      <c r="C65">
        <v>6810</v>
      </c>
      <c r="D65" t="s">
        <v>107</v>
      </c>
      <c r="E65">
        <v>2</v>
      </c>
      <c r="F65" t="s">
        <v>33</v>
      </c>
      <c r="G65" s="2">
        <v>46214</v>
      </c>
      <c r="H65" s="3">
        <v>11605.5</v>
      </c>
      <c r="I65" s="3">
        <v>4452</v>
      </c>
      <c r="J65" t="s">
        <v>30</v>
      </c>
      <c r="K65" s="3">
        <v>2.65</v>
      </c>
      <c r="L65" t="s">
        <v>73</v>
      </c>
      <c r="M65">
        <v>13</v>
      </c>
      <c r="N65" s="3">
        <v>2.61</v>
      </c>
      <c r="O65">
        <v>1207</v>
      </c>
      <c r="P65" s="3">
        <v>0.04</v>
      </c>
      <c r="Q65" s="3">
        <v>11605.5</v>
      </c>
      <c r="R65" s="3">
        <v>0</v>
      </c>
      <c r="S65">
        <v>1103</v>
      </c>
      <c r="T65" s="3">
        <v>11797.8</v>
      </c>
      <c r="W65" s="3">
        <v>2.12</v>
      </c>
    </row>
    <row r="66" spans="1:23" x14ac:dyDescent="0.3">
      <c r="A66" t="s">
        <v>27</v>
      </c>
      <c r="B66">
        <v>2911</v>
      </c>
      <c r="C66">
        <v>6778</v>
      </c>
      <c r="D66" t="s">
        <v>108</v>
      </c>
      <c r="E66">
        <v>12</v>
      </c>
      <c r="F66" t="s">
        <v>46</v>
      </c>
      <c r="G66" s="2">
        <v>46204</v>
      </c>
      <c r="H66" s="3">
        <v>17126</v>
      </c>
      <c r="I66" s="3">
        <v>14120</v>
      </c>
      <c r="J66" t="s">
        <v>30</v>
      </c>
      <c r="K66" s="3">
        <v>1.05</v>
      </c>
      <c r="L66" t="s">
        <v>73</v>
      </c>
      <c r="M66">
        <v>13</v>
      </c>
      <c r="N66" s="3">
        <v>1.21</v>
      </c>
      <c r="O66">
        <v>1601</v>
      </c>
      <c r="P66" s="3">
        <v>-0.16</v>
      </c>
      <c r="Q66" s="3">
        <v>17126</v>
      </c>
      <c r="R66" s="3">
        <v>0</v>
      </c>
      <c r="S66">
        <v>1103</v>
      </c>
      <c r="T66" s="3">
        <v>14826</v>
      </c>
      <c r="W66" s="3">
        <v>1.05</v>
      </c>
    </row>
    <row r="67" spans="1:23" x14ac:dyDescent="0.3">
      <c r="A67" t="s">
        <v>27</v>
      </c>
      <c r="B67">
        <v>2913</v>
      </c>
      <c r="C67">
        <v>2188</v>
      </c>
      <c r="D67" t="s">
        <v>109</v>
      </c>
      <c r="E67">
        <v>2</v>
      </c>
      <c r="F67" t="s">
        <v>33</v>
      </c>
      <c r="G67" s="2">
        <v>46204</v>
      </c>
      <c r="H67" s="3">
        <v>16774.96</v>
      </c>
      <c r="I67" s="3">
        <v>7680</v>
      </c>
      <c r="J67" t="s">
        <v>30</v>
      </c>
      <c r="K67" s="3">
        <v>2.2799999999999998</v>
      </c>
      <c r="L67" t="s">
        <v>73</v>
      </c>
      <c r="M67">
        <v>13</v>
      </c>
      <c r="N67" s="3">
        <v>2.1800000000000002</v>
      </c>
      <c r="O67">
        <v>1207</v>
      </c>
      <c r="P67" s="3">
        <v>0.1</v>
      </c>
      <c r="Q67" s="3">
        <v>16774.96</v>
      </c>
      <c r="R67" s="3">
        <v>0</v>
      </c>
      <c r="S67">
        <v>1705</v>
      </c>
      <c r="T67" s="3">
        <v>17510.400000000001</v>
      </c>
      <c r="W67" s="3">
        <v>2.2799999999999998</v>
      </c>
    </row>
    <row r="68" spans="1:23" x14ac:dyDescent="0.3">
      <c r="A68" t="s">
        <v>27</v>
      </c>
      <c r="B68">
        <v>2909</v>
      </c>
      <c r="C68">
        <v>3040</v>
      </c>
      <c r="D68" t="s">
        <v>84</v>
      </c>
      <c r="E68">
        <v>2</v>
      </c>
      <c r="F68" t="s">
        <v>33</v>
      </c>
      <c r="G68" s="2">
        <v>46204</v>
      </c>
      <c r="H68" s="3">
        <v>18937.66</v>
      </c>
      <c r="I68" s="3">
        <v>8300</v>
      </c>
      <c r="J68" t="s">
        <v>30</v>
      </c>
      <c r="K68" s="3">
        <v>2.0499999999999998</v>
      </c>
      <c r="L68" t="s">
        <v>73</v>
      </c>
      <c r="M68">
        <v>13</v>
      </c>
      <c r="N68" s="3">
        <v>2.2799999999999998</v>
      </c>
      <c r="O68">
        <v>1207</v>
      </c>
      <c r="P68" s="3">
        <v>-0.23</v>
      </c>
      <c r="Q68" s="3">
        <v>18937.66</v>
      </c>
      <c r="R68" s="3">
        <v>0</v>
      </c>
      <c r="S68">
        <v>1103</v>
      </c>
      <c r="T68" s="3">
        <v>17015</v>
      </c>
      <c r="W68" s="3">
        <v>2.0499999999999998</v>
      </c>
    </row>
    <row r="69" spans="1:23" x14ac:dyDescent="0.3">
      <c r="A69" t="s">
        <v>27</v>
      </c>
      <c r="B69">
        <v>2910</v>
      </c>
      <c r="C69">
        <v>1194</v>
      </c>
      <c r="D69" t="s">
        <v>95</v>
      </c>
      <c r="E69">
        <v>2</v>
      </c>
      <c r="F69" t="s">
        <v>33</v>
      </c>
      <c r="G69" s="2">
        <v>46204</v>
      </c>
      <c r="H69" s="3">
        <v>18798.509999999998</v>
      </c>
      <c r="I69" s="3">
        <v>7350</v>
      </c>
      <c r="J69" t="s">
        <v>30</v>
      </c>
      <c r="K69" s="3">
        <v>2.6</v>
      </c>
      <c r="L69" t="s">
        <v>73</v>
      </c>
      <c r="M69">
        <v>13</v>
      </c>
      <c r="N69" s="3">
        <v>2.56</v>
      </c>
      <c r="O69">
        <v>1207</v>
      </c>
      <c r="P69" s="3">
        <v>0.04</v>
      </c>
      <c r="Q69" s="3">
        <v>18798.509999999998</v>
      </c>
      <c r="R69" s="3">
        <v>0</v>
      </c>
      <c r="S69">
        <v>1103</v>
      </c>
      <c r="T69" s="3">
        <v>19110</v>
      </c>
      <c r="W69" s="3">
        <v>2.64</v>
      </c>
    </row>
    <row r="70" spans="1:23" x14ac:dyDescent="0.3">
      <c r="A70" t="s">
        <v>27</v>
      </c>
      <c r="B70">
        <v>2916</v>
      </c>
      <c r="C70">
        <v>3198</v>
      </c>
      <c r="D70" t="s">
        <v>110</v>
      </c>
      <c r="E70">
        <v>14</v>
      </c>
      <c r="F70" t="s">
        <v>54</v>
      </c>
      <c r="G70" s="2">
        <v>46205</v>
      </c>
      <c r="H70" s="3">
        <v>14474.5</v>
      </c>
      <c r="I70" s="3">
        <v>13970</v>
      </c>
      <c r="J70" t="s">
        <v>30</v>
      </c>
      <c r="K70" s="3">
        <v>0.85</v>
      </c>
      <c r="L70" t="s">
        <v>73</v>
      </c>
      <c r="M70">
        <v>13</v>
      </c>
      <c r="N70" s="3">
        <v>1.04</v>
      </c>
      <c r="O70">
        <v>1107</v>
      </c>
      <c r="P70" s="3">
        <v>-0.19</v>
      </c>
      <c r="Q70" s="3">
        <v>14474.5</v>
      </c>
      <c r="R70" s="3">
        <v>0</v>
      </c>
      <c r="S70">
        <v>1103</v>
      </c>
      <c r="T70" s="3">
        <v>11874.5</v>
      </c>
      <c r="W70" s="3">
        <v>0</v>
      </c>
    </row>
    <row r="71" spans="1:23" x14ac:dyDescent="0.3">
      <c r="A71" t="s">
        <v>27</v>
      </c>
      <c r="B71">
        <v>2918</v>
      </c>
      <c r="C71">
        <v>6991</v>
      </c>
      <c r="D71" t="s">
        <v>111</v>
      </c>
      <c r="E71">
        <v>4</v>
      </c>
      <c r="F71" t="s">
        <v>29</v>
      </c>
      <c r="G71" s="2">
        <v>46205</v>
      </c>
      <c r="H71" s="3">
        <v>12162.32</v>
      </c>
      <c r="I71" s="3">
        <v>6040</v>
      </c>
      <c r="J71" t="s">
        <v>30</v>
      </c>
      <c r="K71" s="3">
        <v>1.5</v>
      </c>
      <c r="L71" t="s">
        <v>73</v>
      </c>
      <c r="M71">
        <v>13</v>
      </c>
      <c r="N71" s="3">
        <v>2.0099999999999998</v>
      </c>
      <c r="O71">
        <v>1108</v>
      </c>
      <c r="P71" s="3">
        <v>-0.51</v>
      </c>
      <c r="Q71" s="3">
        <v>12162.32</v>
      </c>
      <c r="R71" s="3">
        <v>0</v>
      </c>
      <c r="S71">
        <v>1103</v>
      </c>
      <c r="T71" s="3">
        <v>9060</v>
      </c>
      <c r="W71" s="3">
        <v>0</v>
      </c>
    </row>
    <row r="72" spans="1:23" x14ac:dyDescent="0.3">
      <c r="A72" t="s">
        <v>27</v>
      </c>
      <c r="B72">
        <v>2917</v>
      </c>
      <c r="C72">
        <v>1194</v>
      </c>
      <c r="D72" t="s">
        <v>95</v>
      </c>
      <c r="E72">
        <v>2</v>
      </c>
      <c r="F72" t="s">
        <v>33</v>
      </c>
      <c r="G72" s="2">
        <v>46205</v>
      </c>
      <c r="H72" s="3">
        <v>15458.35</v>
      </c>
      <c r="I72" s="3">
        <v>5930</v>
      </c>
      <c r="J72" t="s">
        <v>30</v>
      </c>
      <c r="K72" s="3">
        <v>2.65</v>
      </c>
      <c r="L72" t="s">
        <v>73</v>
      </c>
      <c r="M72">
        <v>13</v>
      </c>
      <c r="N72" s="3">
        <v>2.61</v>
      </c>
      <c r="O72">
        <v>1207</v>
      </c>
      <c r="P72" s="3">
        <v>0.04</v>
      </c>
      <c r="Q72" s="3">
        <v>15458.35</v>
      </c>
      <c r="R72" s="3">
        <v>0</v>
      </c>
      <c r="S72">
        <v>1103</v>
      </c>
      <c r="T72" s="3">
        <v>15714.5</v>
      </c>
      <c r="W72" s="3">
        <v>2.6</v>
      </c>
    </row>
    <row r="73" spans="1:23" x14ac:dyDescent="0.3">
      <c r="A73" t="s">
        <v>27</v>
      </c>
      <c r="B73">
        <v>2915</v>
      </c>
      <c r="C73">
        <v>4368</v>
      </c>
      <c r="D73" t="s">
        <v>112</v>
      </c>
      <c r="E73">
        <v>3</v>
      </c>
      <c r="F73" t="s">
        <v>52</v>
      </c>
      <c r="G73" s="2">
        <v>46205</v>
      </c>
      <c r="H73" s="3">
        <v>19045.689999999999</v>
      </c>
      <c r="I73" s="3">
        <v>8740</v>
      </c>
      <c r="J73" t="s">
        <v>30</v>
      </c>
      <c r="K73" s="3">
        <v>1.75</v>
      </c>
      <c r="L73" t="s">
        <v>73</v>
      </c>
      <c r="M73">
        <v>13</v>
      </c>
      <c r="N73" s="3">
        <v>2.1800000000000002</v>
      </c>
      <c r="O73">
        <v>1107</v>
      </c>
      <c r="P73" s="3">
        <v>-0.43</v>
      </c>
      <c r="Q73" s="3">
        <v>19045.689999999999</v>
      </c>
      <c r="R73" s="3">
        <v>0</v>
      </c>
      <c r="S73">
        <v>1103</v>
      </c>
      <c r="T73" s="3">
        <v>15295</v>
      </c>
      <c r="W73" s="3">
        <v>1.75</v>
      </c>
    </row>
    <row r="74" spans="1:23" x14ac:dyDescent="0.3">
      <c r="A74" t="s">
        <v>27</v>
      </c>
      <c r="B74">
        <v>2935</v>
      </c>
      <c r="C74">
        <v>5795</v>
      </c>
      <c r="D74" t="s">
        <v>113</v>
      </c>
      <c r="E74">
        <v>85</v>
      </c>
      <c r="F74" t="s">
        <v>77</v>
      </c>
      <c r="G74" s="2">
        <v>46210</v>
      </c>
      <c r="H74" s="3">
        <v>22252.799999999999</v>
      </c>
      <c r="I74" s="3">
        <v>8940</v>
      </c>
      <c r="J74" t="s">
        <v>30</v>
      </c>
      <c r="K74" s="3">
        <v>2.12</v>
      </c>
      <c r="L74" t="s">
        <v>114</v>
      </c>
      <c r="M74">
        <v>19</v>
      </c>
      <c r="N74" s="3">
        <v>2.4900000000000002</v>
      </c>
      <c r="O74">
        <v>1117</v>
      </c>
      <c r="P74" s="3">
        <v>-0.37</v>
      </c>
      <c r="Q74" s="3">
        <v>22252.799999999999</v>
      </c>
      <c r="R74" s="3">
        <v>0</v>
      </c>
      <c r="S74">
        <v>1103</v>
      </c>
      <c r="T74" s="3">
        <v>18952.8</v>
      </c>
      <c r="W74" s="3">
        <v>2.12</v>
      </c>
    </row>
    <row r="75" spans="1:23" x14ac:dyDescent="0.3">
      <c r="A75" t="s">
        <v>27</v>
      </c>
      <c r="B75">
        <v>2907</v>
      </c>
      <c r="C75">
        <v>5836</v>
      </c>
      <c r="D75" t="s">
        <v>115</v>
      </c>
      <c r="E75">
        <v>85</v>
      </c>
      <c r="F75" t="s">
        <v>77</v>
      </c>
      <c r="G75" s="2">
        <v>46204</v>
      </c>
      <c r="H75" s="3">
        <v>19864.400000000001</v>
      </c>
      <c r="I75" s="3">
        <v>9370</v>
      </c>
      <c r="J75" t="s">
        <v>30</v>
      </c>
      <c r="K75" s="3">
        <v>2.12</v>
      </c>
      <c r="L75" t="s">
        <v>114</v>
      </c>
      <c r="M75">
        <v>19</v>
      </c>
      <c r="N75" s="3">
        <v>2.12</v>
      </c>
      <c r="O75">
        <v>1117</v>
      </c>
      <c r="P75" s="3">
        <v>0</v>
      </c>
      <c r="Q75" s="3">
        <v>19864.400000000001</v>
      </c>
      <c r="R75" s="3">
        <v>0</v>
      </c>
      <c r="S75">
        <v>1103</v>
      </c>
      <c r="T75" s="3">
        <v>19864.400000000001</v>
      </c>
      <c r="W75" s="3">
        <v>2.12</v>
      </c>
    </row>
    <row r="76" spans="1:23" x14ac:dyDescent="0.3">
      <c r="A76" t="s">
        <v>27</v>
      </c>
      <c r="B76">
        <v>2912</v>
      </c>
      <c r="C76">
        <v>1306</v>
      </c>
      <c r="D76" t="s">
        <v>116</v>
      </c>
      <c r="E76">
        <v>85</v>
      </c>
      <c r="F76" t="s">
        <v>77</v>
      </c>
      <c r="G76" s="2">
        <v>46204</v>
      </c>
      <c r="H76" s="3">
        <v>22344.38</v>
      </c>
      <c r="I76" s="3">
        <v>9180</v>
      </c>
      <c r="J76" t="s">
        <v>30</v>
      </c>
      <c r="K76" s="3">
        <v>2.12</v>
      </c>
      <c r="L76" t="s">
        <v>114</v>
      </c>
      <c r="M76">
        <v>19</v>
      </c>
      <c r="N76" s="3">
        <v>2.4300000000000002</v>
      </c>
      <c r="O76">
        <v>1117</v>
      </c>
      <c r="P76" s="3">
        <v>-0.31</v>
      </c>
      <c r="Q76" s="3">
        <v>22344.38</v>
      </c>
      <c r="R76" s="3">
        <v>0</v>
      </c>
      <c r="S76">
        <v>1103</v>
      </c>
      <c r="T76" s="3">
        <v>19461.599999999999</v>
      </c>
      <c r="W76" s="3">
        <v>2.12</v>
      </c>
    </row>
    <row r="77" spans="1:23" x14ac:dyDescent="0.3">
      <c r="A77" t="s">
        <v>27</v>
      </c>
      <c r="B77">
        <v>2956</v>
      </c>
      <c r="C77">
        <v>5487</v>
      </c>
      <c r="D77" t="s">
        <v>117</v>
      </c>
      <c r="E77">
        <v>40</v>
      </c>
      <c r="F77" t="s">
        <v>118</v>
      </c>
      <c r="G77" s="2">
        <v>46213</v>
      </c>
      <c r="H77" s="3">
        <v>17854.099999999999</v>
      </c>
      <c r="I77" s="3">
        <v>11190</v>
      </c>
      <c r="J77" t="s">
        <v>30</v>
      </c>
      <c r="K77" s="3">
        <v>1.39</v>
      </c>
      <c r="L77" t="s">
        <v>119</v>
      </c>
      <c r="M77">
        <v>23</v>
      </c>
      <c r="N77" s="3">
        <v>1.6</v>
      </c>
      <c r="O77">
        <v>1601</v>
      </c>
      <c r="P77" s="3">
        <v>-0.21</v>
      </c>
      <c r="Q77" s="3">
        <v>17854.099999999999</v>
      </c>
      <c r="R77" s="3">
        <v>0</v>
      </c>
      <c r="S77">
        <v>1103</v>
      </c>
      <c r="T77" s="3">
        <v>15554.1</v>
      </c>
      <c r="W77" s="3">
        <v>0</v>
      </c>
    </row>
    <row r="78" spans="1:23" x14ac:dyDescent="0.3">
      <c r="A78" t="s">
        <v>27</v>
      </c>
      <c r="B78">
        <v>2950</v>
      </c>
      <c r="C78">
        <v>1327</v>
      </c>
      <c r="D78" t="s">
        <v>120</v>
      </c>
      <c r="E78">
        <v>2</v>
      </c>
      <c r="F78" t="s">
        <v>33</v>
      </c>
      <c r="G78" s="2">
        <v>46211</v>
      </c>
      <c r="H78" s="3">
        <v>21059.439999999999</v>
      </c>
      <c r="I78" s="3">
        <v>8420</v>
      </c>
      <c r="J78" t="s">
        <v>30</v>
      </c>
      <c r="K78" s="3">
        <v>2.12</v>
      </c>
      <c r="L78" t="s">
        <v>119</v>
      </c>
      <c r="M78">
        <v>23</v>
      </c>
      <c r="N78" s="3">
        <v>2.5</v>
      </c>
      <c r="O78">
        <v>1207</v>
      </c>
      <c r="P78" s="3">
        <v>-0.38</v>
      </c>
      <c r="Q78" s="3">
        <v>21059.439999999999</v>
      </c>
      <c r="R78" s="3">
        <v>0</v>
      </c>
      <c r="S78">
        <v>1103</v>
      </c>
      <c r="T78" s="3">
        <v>17850.400000000001</v>
      </c>
      <c r="W78" s="3">
        <v>2.12</v>
      </c>
    </row>
    <row r="79" spans="1:23" x14ac:dyDescent="0.3">
      <c r="A79" t="s">
        <v>27</v>
      </c>
      <c r="B79">
        <v>2924</v>
      </c>
      <c r="C79">
        <v>5611</v>
      </c>
      <c r="D79" t="s">
        <v>121</v>
      </c>
      <c r="E79">
        <v>1</v>
      </c>
      <c r="F79" t="s">
        <v>36</v>
      </c>
      <c r="G79" s="2">
        <v>46207</v>
      </c>
      <c r="H79" s="3">
        <v>23933.79</v>
      </c>
      <c r="I79" s="3">
        <v>8690</v>
      </c>
      <c r="J79" t="s">
        <v>30</v>
      </c>
      <c r="K79" s="3">
        <v>2.25</v>
      </c>
      <c r="L79" t="s">
        <v>119</v>
      </c>
      <c r="M79">
        <v>23</v>
      </c>
      <c r="N79" s="3">
        <v>2.75</v>
      </c>
      <c r="O79">
        <v>1107</v>
      </c>
      <c r="P79" s="3">
        <v>-0.5</v>
      </c>
      <c r="Q79" s="3">
        <v>23933.79</v>
      </c>
      <c r="R79" s="3">
        <v>0</v>
      </c>
      <c r="S79">
        <v>1103</v>
      </c>
      <c r="T79" s="3">
        <v>19552.5</v>
      </c>
      <c r="W79" s="3">
        <v>2.36</v>
      </c>
    </row>
    <row r="80" spans="1:23" x14ac:dyDescent="0.3">
      <c r="A80" t="s">
        <v>27</v>
      </c>
      <c r="B80">
        <v>2923</v>
      </c>
      <c r="C80">
        <v>5736</v>
      </c>
      <c r="D80" t="s">
        <v>122</v>
      </c>
      <c r="E80">
        <v>85</v>
      </c>
      <c r="F80" t="s">
        <v>77</v>
      </c>
      <c r="G80" s="2">
        <v>46207</v>
      </c>
      <c r="H80" s="3">
        <v>19970.400000000001</v>
      </c>
      <c r="I80" s="3">
        <v>9420</v>
      </c>
      <c r="J80" t="s">
        <v>30</v>
      </c>
      <c r="K80" s="3">
        <v>2.12</v>
      </c>
      <c r="L80" t="s">
        <v>119</v>
      </c>
      <c r="M80">
        <v>23</v>
      </c>
      <c r="N80" s="3">
        <v>2.12</v>
      </c>
      <c r="O80">
        <v>1117</v>
      </c>
      <c r="P80" s="3">
        <v>0</v>
      </c>
      <c r="Q80" s="3">
        <v>19970.400000000001</v>
      </c>
      <c r="R80" s="3">
        <v>0</v>
      </c>
      <c r="S80">
        <v>1103</v>
      </c>
      <c r="T80" s="3">
        <v>19970.400000000001</v>
      </c>
      <c r="W80" s="3">
        <v>2.12</v>
      </c>
    </row>
    <row r="81" spans="1:23" x14ac:dyDescent="0.3">
      <c r="A81" t="s">
        <v>27</v>
      </c>
      <c r="B81">
        <v>2928</v>
      </c>
      <c r="C81">
        <v>4891</v>
      </c>
      <c r="D81" t="s">
        <v>123</v>
      </c>
      <c r="E81">
        <v>2</v>
      </c>
      <c r="F81" t="s">
        <v>33</v>
      </c>
      <c r="G81" s="2">
        <v>46207</v>
      </c>
      <c r="H81" s="3">
        <v>16628.41</v>
      </c>
      <c r="I81" s="3">
        <v>6410</v>
      </c>
      <c r="J81" t="s">
        <v>30</v>
      </c>
      <c r="K81" s="3">
        <v>2.12</v>
      </c>
      <c r="L81" t="s">
        <v>119</v>
      </c>
      <c r="M81">
        <v>23</v>
      </c>
      <c r="N81" s="3">
        <v>2.59</v>
      </c>
      <c r="O81">
        <v>1207</v>
      </c>
      <c r="P81" s="3">
        <v>-0.47</v>
      </c>
      <c r="Q81" s="3">
        <v>16628.41</v>
      </c>
      <c r="R81" s="3">
        <v>0</v>
      </c>
      <c r="S81">
        <v>1103</v>
      </c>
      <c r="T81" s="3">
        <v>13589.2</v>
      </c>
      <c r="W81" s="3">
        <v>2.12</v>
      </c>
    </row>
    <row r="82" spans="1:23" x14ac:dyDescent="0.3">
      <c r="A82" t="s">
        <v>27</v>
      </c>
      <c r="B82">
        <v>2928</v>
      </c>
      <c r="C82">
        <v>4891</v>
      </c>
      <c r="D82" t="s">
        <v>123</v>
      </c>
      <c r="E82">
        <v>12</v>
      </c>
      <c r="F82" t="s">
        <v>46</v>
      </c>
      <c r="G82" s="2">
        <v>46207</v>
      </c>
      <c r="H82" s="3">
        <v>5256.79</v>
      </c>
      <c r="I82" s="3">
        <v>3580</v>
      </c>
      <c r="J82" t="s">
        <v>30</v>
      </c>
      <c r="K82" s="3">
        <v>1.2</v>
      </c>
      <c r="L82" t="s">
        <v>119</v>
      </c>
      <c r="M82">
        <v>23</v>
      </c>
      <c r="N82" s="3">
        <v>1.47</v>
      </c>
      <c r="O82">
        <v>1601</v>
      </c>
      <c r="P82" s="3">
        <v>-0.27</v>
      </c>
      <c r="Q82" s="3">
        <v>5256.79</v>
      </c>
      <c r="R82" s="3">
        <v>0</v>
      </c>
      <c r="S82">
        <v>1103</v>
      </c>
      <c r="T82" s="3">
        <v>4296</v>
      </c>
      <c r="W82" s="3">
        <v>0</v>
      </c>
    </row>
    <row r="83" spans="1:23" x14ac:dyDescent="0.3">
      <c r="A83" t="s">
        <v>27</v>
      </c>
      <c r="B83">
        <v>2930</v>
      </c>
      <c r="C83">
        <v>5736</v>
      </c>
      <c r="D83" t="s">
        <v>122</v>
      </c>
      <c r="E83">
        <v>85</v>
      </c>
      <c r="F83" t="s">
        <v>77</v>
      </c>
      <c r="G83" s="2">
        <v>46209</v>
      </c>
      <c r="H83" s="3">
        <v>21496.799999999999</v>
      </c>
      <c r="I83" s="3">
        <v>10140</v>
      </c>
      <c r="J83" t="s">
        <v>30</v>
      </c>
      <c r="K83" s="3">
        <v>2.12</v>
      </c>
      <c r="L83" t="s">
        <v>119</v>
      </c>
      <c r="M83">
        <v>23</v>
      </c>
      <c r="N83" s="3">
        <v>2.12</v>
      </c>
      <c r="O83">
        <v>1117</v>
      </c>
      <c r="P83" s="3">
        <v>0</v>
      </c>
      <c r="Q83" s="3">
        <v>21496.799999999999</v>
      </c>
      <c r="R83" s="3">
        <v>0</v>
      </c>
      <c r="S83">
        <v>1103</v>
      </c>
      <c r="T83" s="3">
        <v>21496.799999999999</v>
      </c>
      <c r="W83" s="3">
        <v>2.12</v>
      </c>
    </row>
    <row r="84" spans="1:23" x14ac:dyDescent="0.3">
      <c r="A84" t="s">
        <v>27</v>
      </c>
      <c r="B84">
        <v>624</v>
      </c>
      <c r="C84">
        <v>5317</v>
      </c>
      <c r="D84" t="s">
        <v>124</v>
      </c>
      <c r="E84">
        <v>2</v>
      </c>
      <c r="F84" t="s">
        <v>33</v>
      </c>
      <c r="G84" s="2">
        <v>46206</v>
      </c>
      <c r="H84" s="3">
        <v>17747.03</v>
      </c>
      <c r="I84" s="3">
        <v>7810</v>
      </c>
      <c r="J84" t="s">
        <v>30</v>
      </c>
      <c r="K84" s="3">
        <v>2.31</v>
      </c>
      <c r="L84" t="s">
        <v>119</v>
      </c>
      <c r="M84">
        <v>23</v>
      </c>
      <c r="N84" s="3">
        <v>2.27</v>
      </c>
      <c r="O84">
        <v>1108</v>
      </c>
      <c r="P84" s="3">
        <v>0.04</v>
      </c>
      <c r="Q84" s="3">
        <v>17747.03</v>
      </c>
      <c r="R84" s="3">
        <v>0</v>
      </c>
      <c r="S84">
        <v>1103</v>
      </c>
      <c r="T84" s="3">
        <v>18041.099999999999</v>
      </c>
      <c r="W84" s="3">
        <v>2.31</v>
      </c>
    </row>
    <row r="85" spans="1:23" x14ac:dyDescent="0.3">
      <c r="A85" t="s">
        <v>27</v>
      </c>
      <c r="B85">
        <v>627</v>
      </c>
      <c r="C85">
        <v>7039</v>
      </c>
      <c r="D85" t="s">
        <v>125</v>
      </c>
      <c r="E85">
        <v>12</v>
      </c>
      <c r="F85" t="s">
        <v>46</v>
      </c>
      <c r="G85" s="2">
        <v>46212</v>
      </c>
      <c r="H85" s="3">
        <v>6430</v>
      </c>
      <c r="I85" s="3">
        <v>4650</v>
      </c>
      <c r="J85" t="s">
        <v>30</v>
      </c>
      <c r="K85" s="3">
        <v>1.2</v>
      </c>
      <c r="L85" t="s">
        <v>119</v>
      </c>
      <c r="M85">
        <v>23</v>
      </c>
      <c r="N85" s="3">
        <v>1.38</v>
      </c>
      <c r="O85">
        <v>1601</v>
      </c>
      <c r="P85" s="3">
        <v>-0.18</v>
      </c>
      <c r="Q85" s="3">
        <v>6430</v>
      </c>
      <c r="R85" s="3">
        <v>0</v>
      </c>
      <c r="S85">
        <v>1103</v>
      </c>
      <c r="T85" s="3">
        <v>5580</v>
      </c>
      <c r="W85" s="3">
        <v>0</v>
      </c>
    </row>
    <row r="86" spans="1:23" x14ac:dyDescent="0.3">
      <c r="A86" t="s">
        <v>27</v>
      </c>
      <c r="B86">
        <v>2934</v>
      </c>
      <c r="C86">
        <v>5203</v>
      </c>
      <c r="D86" t="s">
        <v>126</v>
      </c>
      <c r="E86">
        <v>1</v>
      </c>
      <c r="F86" t="s">
        <v>36</v>
      </c>
      <c r="G86" s="2">
        <v>46210</v>
      </c>
      <c r="H86" s="3">
        <v>20748.46</v>
      </c>
      <c r="I86" s="3">
        <v>8290</v>
      </c>
      <c r="J86" t="s">
        <v>30</v>
      </c>
      <c r="K86" s="3">
        <v>2.25</v>
      </c>
      <c r="L86" t="s">
        <v>119</v>
      </c>
      <c r="M86">
        <v>23</v>
      </c>
      <c r="N86" s="3">
        <v>2.5</v>
      </c>
      <c r="O86">
        <v>1107</v>
      </c>
      <c r="P86" s="3">
        <v>-0.25</v>
      </c>
      <c r="Q86" s="3">
        <v>20748.46</v>
      </c>
      <c r="R86" s="3">
        <v>0</v>
      </c>
      <c r="S86">
        <v>1103</v>
      </c>
      <c r="T86" s="3">
        <v>18652.5</v>
      </c>
      <c r="W86" s="3">
        <v>2.25</v>
      </c>
    </row>
    <row r="87" spans="1:23" x14ac:dyDescent="0.3">
      <c r="A87" t="s">
        <v>27</v>
      </c>
      <c r="B87">
        <v>2926</v>
      </c>
      <c r="C87">
        <v>2434</v>
      </c>
      <c r="D87" t="s">
        <v>127</v>
      </c>
      <c r="E87">
        <v>12</v>
      </c>
      <c r="F87" t="s">
        <v>46</v>
      </c>
      <c r="G87" s="2">
        <v>46207</v>
      </c>
      <c r="H87" s="3">
        <v>5189.67</v>
      </c>
      <c r="I87" s="3">
        <v>3550</v>
      </c>
      <c r="J87" t="s">
        <v>30</v>
      </c>
      <c r="K87" s="3">
        <v>1.2</v>
      </c>
      <c r="L87" t="s">
        <v>119</v>
      </c>
      <c r="M87">
        <v>23</v>
      </c>
      <c r="N87" s="3">
        <v>1.46</v>
      </c>
      <c r="O87">
        <v>1601</v>
      </c>
      <c r="P87" s="3">
        <v>-0.26</v>
      </c>
      <c r="Q87" s="3">
        <v>5189.67</v>
      </c>
      <c r="R87" s="3">
        <v>0</v>
      </c>
      <c r="S87">
        <v>1103</v>
      </c>
      <c r="T87" s="3">
        <v>4260</v>
      </c>
      <c r="W87" s="3">
        <v>0</v>
      </c>
    </row>
    <row r="88" spans="1:23" x14ac:dyDescent="0.3">
      <c r="A88" t="s">
        <v>27</v>
      </c>
      <c r="B88">
        <v>2926</v>
      </c>
      <c r="C88">
        <v>2434</v>
      </c>
      <c r="D88" t="s">
        <v>127</v>
      </c>
      <c r="E88">
        <v>85</v>
      </c>
      <c r="F88" t="s">
        <v>77</v>
      </c>
      <c r="G88" s="2">
        <v>46207</v>
      </c>
      <c r="H88" s="3">
        <v>17665.330000000002</v>
      </c>
      <c r="I88" s="3">
        <v>6840</v>
      </c>
      <c r="J88" t="s">
        <v>30</v>
      </c>
      <c r="K88" s="3">
        <v>2.12</v>
      </c>
      <c r="L88" t="s">
        <v>119</v>
      </c>
      <c r="M88">
        <v>23</v>
      </c>
      <c r="N88" s="3">
        <v>2.58</v>
      </c>
      <c r="O88">
        <v>1117</v>
      </c>
      <c r="P88" s="3">
        <v>-0.46</v>
      </c>
      <c r="Q88" s="3">
        <v>17665.330000000002</v>
      </c>
      <c r="R88" s="3">
        <v>0</v>
      </c>
      <c r="S88">
        <v>1103</v>
      </c>
      <c r="T88" s="3">
        <v>14500.8</v>
      </c>
      <c r="W88" s="3">
        <v>2.12</v>
      </c>
    </row>
    <row r="89" spans="1:23" x14ac:dyDescent="0.3">
      <c r="A89" t="s">
        <v>27</v>
      </c>
      <c r="B89">
        <v>2941</v>
      </c>
      <c r="C89">
        <v>2434</v>
      </c>
      <c r="D89" t="s">
        <v>127</v>
      </c>
      <c r="E89">
        <v>12</v>
      </c>
      <c r="F89" t="s">
        <v>46</v>
      </c>
      <c r="G89" s="2">
        <v>46211</v>
      </c>
      <c r="H89" s="3">
        <v>18660.39</v>
      </c>
      <c r="I89" s="3">
        <v>12250</v>
      </c>
      <c r="J89" t="s">
        <v>30</v>
      </c>
      <c r="K89" s="3">
        <v>1.2</v>
      </c>
      <c r="L89" t="s">
        <v>119</v>
      </c>
      <c r="M89">
        <v>23</v>
      </c>
      <c r="N89" s="3">
        <v>1.52</v>
      </c>
      <c r="O89">
        <v>1601</v>
      </c>
      <c r="P89" s="3">
        <v>-0.32</v>
      </c>
      <c r="Q89" s="3">
        <v>18660.39</v>
      </c>
      <c r="R89" s="3">
        <v>0</v>
      </c>
      <c r="S89">
        <v>1103</v>
      </c>
      <c r="T89" s="3">
        <v>14700</v>
      </c>
      <c r="W89" s="3">
        <v>1.2</v>
      </c>
    </row>
    <row r="90" spans="1:23" x14ac:dyDescent="0.3">
      <c r="A90" t="s">
        <v>27</v>
      </c>
      <c r="B90">
        <v>2971</v>
      </c>
      <c r="C90">
        <v>4935</v>
      </c>
      <c r="D90" t="s">
        <v>128</v>
      </c>
      <c r="E90">
        <v>7</v>
      </c>
      <c r="F90" t="s">
        <v>43</v>
      </c>
      <c r="G90" s="2">
        <v>46214</v>
      </c>
      <c r="H90" s="3">
        <v>19418</v>
      </c>
      <c r="I90" s="3">
        <v>7650</v>
      </c>
      <c r="J90" t="s">
        <v>30</v>
      </c>
      <c r="K90" s="3">
        <v>2.12</v>
      </c>
      <c r="L90" t="s">
        <v>119</v>
      </c>
      <c r="M90">
        <v>23</v>
      </c>
      <c r="N90" s="3">
        <v>2.54</v>
      </c>
      <c r="O90">
        <v>1601</v>
      </c>
      <c r="P90" s="3">
        <v>-0.42</v>
      </c>
      <c r="Q90" s="3">
        <v>19418</v>
      </c>
      <c r="R90" s="3">
        <v>0</v>
      </c>
      <c r="S90">
        <v>1103</v>
      </c>
      <c r="T90" s="3">
        <v>16218</v>
      </c>
      <c r="W90" s="3">
        <v>2.12</v>
      </c>
    </row>
    <row r="91" spans="1:23" x14ac:dyDescent="0.3">
      <c r="A91" t="s">
        <v>27</v>
      </c>
      <c r="B91">
        <v>2919</v>
      </c>
      <c r="C91">
        <v>6161</v>
      </c>
      <c r="D91" t="s">
        <v>129</v>
      </c>
      <c r="E91">
        <v>7</v>
      </c>
      <c r="F91" t="s">
        <v>43</v>
      </c>
      <c r="G91" s="2">
        <v>46205</v>
      </c>
      <c r="H91" s="3">
        <v>23155.599999999999</v>
      </c>
      <c r="I91" s="3">
        <v>9130</v>
      </c>
      <c r="J91" t="s">
        <v>30</v>
      </c>
      <c r="K91" s="3">
        <v>2.12</v>
      </c>
      <c r="L91" t="s">
        <v>119</v>
      </c>
      <c r="M91">
        <v>23</v>
      </c>
      <c r="N91" s="3">
        <v>2.54</v>
      </c>
      <c r="O91">
        <v>1601</v>
      </c>
      <c r="P91" s="3">
        <v>-0.42</v>
      </c>
      <c r="Q91" s="3">
        <v>23155.599999999999</v>
      </c>
      <c r="R91" s="3">
        <v>0</v>
      </c>
      <c r="S91">
        <v>1103</v>
      </c>
      <c r="T91" s="3">
        <v>19355.599999999999</v>
      </c>
      <c r="W91" s="3">
        <v>0</v>
      </c>
    </row>
    <row r="92" spans="1:23" x14ac:dyDescent="0.3">
      <c r="A92" t="s">
        <v>27</v>
      </c>
      <c r="B92">
        <v>2974</v>
      </c>
      <c r="C92">
        <v>1764</v>
      </c>
      <c r="D92" t="s">
        <v>130</v>
      </c>
      <c r="E92">
        <v>7</v>
      </c>
      <c r="F92" t="s">
        <v>43</v>
      </c>
      <c r="G92" s="2">
        <v>46216</v>
      </c>
      <c r="H92" s="3">
        <v>1591.7</v>
      </c>
      <c r="I92" s="3">
        <v>650</v>
      </c>
      <c r="J92" t="s">
        <v>30</v>
      </c>
      <c r="K92" s="3">
        <v>2.12</v>
      </c>
      <c r="L92" t="s">
        <v>131</v>
      </c>
      <c r="M92">
        <v>25</v>
      </c>
      <c r="N92" s="3">
        <v>2.4500000000000002</v>
      </c>
      <c r="O92">
        <v>1601</v>
      </c>
      <c r="P92" s="3">
        <v>-0.33</v>
      </c>
      <c r="Q92" s="3">
        <v>1591.7</v>
      </c>
      <c r="R92" s="3">
        <v>0</v>
      </c>
      <c r="S92">
        <v>1103</v>
      </c>
      <c r="T92" s="3">
        <v>1378</v>
      </c>
      <c r="W92" s="3">
        <v>2.12</v>
      </c>
    </row>
    <row r="93" spans="1:23" x14ac:dyDescent="0.3">
      <c r="A93" t="s">
        <v>27</v>
      </c>
      <c r="B93">
        <v>2974</v>
      </c>
      <c r="C93">
        <v>1764</v>
      </c>
      <c r="D93" t="s">
        <v>130</v>
      </c>
      <c r="E93">
        <v>12</v>
      </c>
      <c r="F93" t="s">
        <v>46</v>
      </c>
      <c r="G93" s="2">
        <v>46216</v>
      </c>
      <c r="H93" s="3">
        <v>25966.799999999999</v>
      </c>
      <c r="I93" s="3">
        <v>21410</v>
      </c>
      <c r="J93" t="s">
        <v>30</v>
      </c>
      <c r="K93" s="3">
        <v>1.05</v>
      </c>
      <c r="L93" t="s">
        <v>131</v>
      </c>
      <c r="M93">
        <v>25</v>
      </c>
      <c r="N93" s="3">
        <v>1.21</v>
      </c>
      <c r="O93">
        <v>1601</v>
      </c>
      <c r="P93" s="3">
        <v>-0.16</v>
      </c>
      <c r="Q93" s="3">
        <v>25966.799999999999</v>
      </c>
      <c r="R93" s="3">
        <v>0</v>
      </c>
      <c r="S93">
        <v>1103</v>
      </c>
      <c r="T93" s="3">
        <v>22480.5</v>
      </c>
      <c r="W93" s="3">
        <v>1.05</v>
      </c>
    </row>
    <row r="94" spans="1:23" x14ac:dyDescent="0.3">
      <c r="A94" t="s">
        <v>27</v>
      </c>
      <c r="B94">
        <v>2965</v>
      </c>
      <c r="C94">
        <v>6154</v>
      </c>
      <c r="D94" t="s">
        <v>132</v>
      </c>
      <c r="E94">
        <v>85</v>
      </c>
      <c r="F94" t="s">
        <v>77</v>
      </c>
      <c r="G94" s="2">
        <v>46214</v>
      </c>
      <c r="H94" s="3">
        <v>20288.400000000001</v>
      </c>
      <c r="I94" s="3">
        <v>9570</v>
      </c>
      <c r="J94" t="s">
        <v>30</v>
      </c>
      <c r="K94" s="3">
        <v>2.12</v>
      </c>
      <c r="L94" t="s">
        <v>131</v>
      </c>
      <c r="M94">
        <v>25</v>
      </c>
      <c r="N94" s="3">
        <v>2.12</v>
      </c>
      <c r="O94">
        <v>1117</v>
      </c>
      <c r="P94" s="3">
        <v>0</v>
      </c>
      <c r="Q94" s="3">
        <v>20288.400000000001</v>
      </c>
      <c r="R94" s="3">
        <v>0</v>
      </c>
      <c r="S94">
        <v>1103</v>
      </c>
      <c r="T94" s="3">
        <v>20288.400000000001</v>
      </c>
      <c r="W94" s="3">
        <v>2.12</v>
      </c>
    </row>
    <row r="95" spans="1:23" x14ac:dyDescent="0.3">
      <c r="A95" t="s">
        <v>27</v>
      </c>
      <c r="B95">
        <v>2921</v>
      </c>
      <c r="C95">
        <v>4820</v>
      </c>
      <c r="D95" t="s">
        <v>133</v>
      </c>
      <c r="E95">
        <v>2</v>
      </c>
      <c r="F95" t="s">
        <v>33</v>
      </c>
      <c r="G95" s="2">
        <v>46206</v>
      </c>
      <c r="H95" s="3">
        <v>18249.599999999999</v>
      </c>
      <c r="I95" s="3">
        <v>7160</v>
      </c>
      <c r="J95" t="s">
        <v>30</v>
      </c>
      <c r="K95" s="3">
        <v>2.06</v>
      </c>
      <c r="L95" t="s">
        <v>134</v>
      </c>
      <c r="M95">
        <v>15</v>
      </c>
      <c r="N95" s="3">
        <v>2.5499999999999998</v>
      </c>
      <c r="O95">
        <v>1207</v>
      </c>
      <c r="P95" s="3">
        <v>-0.49</v>
      </c>
      <c r="Q95" s="3">
        <v>18249.599999999999</v>
      </c>
      <c r="R95" s="3">
        <v>0</v>
      </c>
      <c r="S95">
        <v>1103</v>
      </c>
      <c r="T95" s="3">
        <v>14749.6</v>
      </c>
      <c r="W95" s="3">
        <v>2.06</v>
      </c>
    </row>
    <row r="96" spans="1:23" x14ac:dyDescent="0.3">
      <c r="A96" s="4"/>
      <c r="B96" s="4"/>
      <c r="C96" s="4"/>
      <c r="D96" s="4"/>
      <c r="E96" s="4"/>
      <c r="F96" s="4"/>
      <c r="G96" s="4"/>
      <c r="H96" s="4">
        <f>SUM(H4:H95)</f>
        <v>1332826.3599999996</v>
      </c>
      <c r="I96" s="4">
        <f>SUM(I4:I95)</f>
        <v>627145</v>
      </c>
      <c r="J96" s="4"/>
      <c r="K96" s="4">
        <f>SUM(K4:K95)</f>
        <v>20583.099999999991</v>
      </c>
      <c r="L96" s="4"/>
      <c r="M96" s="4"/>
      <c r="N96" s="4">
        <f>SUM(N4:N95)</f>
        <v>20596.970000000005</v>
      </c>
      <c r="O96" s="4"/>
      <c r="P96" s="4">
        <f>SUM(P4:P95)</f>
        <v>-13.870000000000005</v>
      </c>
      <c r="Q96" s="4">
        <f>SUM(Q4:Q95)</f>
        <v>1332826.3599999996</v>
      </c>
      <c r="R96" s="4">
        <f>SUM(R4:R95)</f>
        <v>0</v>
      </c>
      <c r="S96" s="4"/>
      <c r="T96" s="4">
        <f>SUM(T4:T95)</f>
        <v>1225906.5800000003</v>
      </c>
      <c r="U96" s="4"/>
      <c r="V96" s="4"/>
      <c r="W96" s="4">
        <f>SUM(W4:W95)</f>
        <v>20114.679999999982</v>
      </c>
    </row>
  </sheetData>
  <mergeCells count="2">
    <mergeCell ref="A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Matheus Souza</cp:lastModifiedBy>
  <dcterms:created xsi:type="dcterms:W3CDTF">2026-07-13T20:48:41Z</dcterms:created>
  <dcterms:modified xsi:type="dcterms:W3CDTF">2026-07-14T00:00:05Z</dcterms:modified>
</cp:coreProperties>
</file>